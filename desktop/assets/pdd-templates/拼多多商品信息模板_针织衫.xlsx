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基础信息" sheetId="1" state="visible" r:id="rId3"/>
    <sheet name="款式与尺码" sheetId="2" state="visible" r:id="rId4"/>
    <sheet name="服务与承诺" sheetId="3" state="visible" r:id="rId5"/>
  </sheets>
  <definedNames>
    <definedName function="false" hidden="false" localSheetId="0" name="_xlnm.Print_Titles" vbProcedure="false">基础信息!$1:$9</definedName>
    <definedName function="false" hidden="false" localSheetId="1" name="_xlnm.Print_Titles" vbProcedure="false">款式与尺码!$1:$7</definedName>
    <definedName function="false" hidden="false" localSheetId="0" name="_xlnm.Print_Area" vbProcedure="false">基础信息!$A1:$D43</definedName>
    <definedName function="false" hidden="false" localSheetId="1" name="_xlnm.Print_Area" vbProcedure="false">款式与尺码!$A1:$H35</definedName>
    <definedName function="false" hidden="false" localSheetId="2" name="_xlnm.Print_Area" vbProcedure="false">服务与承诺!$A1:$D25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B11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2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3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4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5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7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8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19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0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1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2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3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4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5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6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7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8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29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0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2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3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4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5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6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8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39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40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  <comment ref="B41" authorId="0">
      <text>
        <r>
          <rPr>
            <sz val="10"/>
            <rFont val="Linux Libertine G"/>
            <family val="2"/>
          </rPr>
          <t xml:space="preserve">新商品填写区，不自动继承原商品。规则来源：当前文青尚品拼多多执行器；网页动态必填仍需运行时核对。</t>
        </r>
      </text>
    </comment>
  </commentList>
</comments>
</file>

<file path=xl/sharedStrings.xml><?xml version="1.0" encoding="utf-8"?>
<sst xmlns="http://schemas.openxmlformats.org/spreadsheetml/2006/main" count="154" uniqueCount="139">
  <si>
    <t xml:space="preserve">拼多多商品信息配置表</t>
  </si>
  <si>
    <r>
      <rPr>
        <sz val="10"/>
        <color rgb="FF66758D"/>
        <rFont val="Linux Libertine G"/>
        <family val="2"/>
      </rPr>
      <t xml:space="preserve">浅蓝色格填写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按商品类型匹配填表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非当前类目变灰且限制直接输入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仅保存草稿</t>
    </r>
  </si>
  <si>
    <t xml:space="preserve">商品类型</t>
  </si>
  <si>
    <t xml:space="preserve">针织衫</t>
  </si>
  <si>
    <t xml:space="preserve">必选</t>
  </si>
  <si>
    <r>
      <rPr>
        <sz val="10"/>
        <color rgb="FF66758D"/>
        <rFont val="Linux Libertine G"/>
        <family val="2"/>
      </rPr>
      <t xml:space="preserve">点 </t>
    </r>
    <r>
      <rPr>
        <sz val="10"/>
        <color rgb="FF66758D"/>
        <rFont val="PingFang SC"/>
        <family val="2"/>
        <charset val="1"/>
      </rPr>
      <t xml:space="preserve">B4 </t>
    </r>
    <r>
      <rPr>
        <sz val="10"/>
        <color rgb="FF66758D"/>
        <rFont val="Linux Libertine G"/>
        <family val="2"/>
      </rPr>
      <t xml:space="preserve">右侧下拉，切换「时尚套装 </t>
    </r>
    <r>
      <rPr>
        <sz val="10"/>
        <color rgb="FF66758D"/>
        <rFont val="PingFang SC"/>
        <family val="2"/>
        <charset val="1"/>
      </rPr>
      <t xml:space="preserve">/ </t>
    </r>
    <r>
      <rPr>
        <sz val="10"/>
        <color rgb="FF66758D"/>
        <rFont val="Linux Libertine G"/>
        <family val="2"/>
      </rPr>
      <t xml:space="preserve">针织衫」</t>
    </r>
  </si>
  <si>
    <t xml:space="preserve">完整类目路径</t>
  </si>
  <si>
    <t xml:space="preserve">切换类目保留原值；灰色字段本次不读取。新类目缺少必填数据时先提示。输入校验不等同于加密锁定，粘贴可能绕过。</t>
  </si>
  <si>
    <t xml:space="preserve">字段</t>
  </si>
  <si>
    <t xml:space="preserve">填写值</t>
  </si>
  <si>
    <t xml:space="preserve">填写要求</t>
  </si>
  <si>
    <r>
      <rPr>
        <b val="true"/>
        <sz val="11"/>
        <color rgb="FF182338"/>
        <rFont val="Linux Libertine G"/>
        <family val="2"/>
      </rPr>
      <t xml:space="preserve">说明 </t>
    </r>
    <r>
      <rPr>
        <b val="true"/>
        <sz val="11"/>
        <color rgb="FF182338"/>
        <rFont val="PingFang SC"/>
        <family val="2"/>
        <charset val="1"/>
      </rPr>
      <t xml:space="preserve">/ </t>
    </r>
    <r>
      <rPr>
        <b val="true"/>
        <sz val="11"/>
        <color rgb="FF182338"/>
        <rFont val="Linux Libertine G"/>
        <family val="2"/>
      </rPr>
      <t xml:space="preserve">填写示例</t>
    </r>
  </si>
  <si>
    <r>
      <rPr>
        <b val="true"/>
        <sz val="11"/>
        <color rgb="FF2455E8"/>
        <rFont val="PingFang SC"/>
        <family val="2"/>
        <charset val="1"/>
      </rPr>
      <t xml:space="preserve">01  </t>
    </r>
    <r>
      <rPr>
        <b val="true"/>
        <sz val="11"/>
        <color rgb="FF2455E8"/>
        <rFont val="Linux Libertine G"/>
        <family val="2"/>
      </rPr>
      <t xml:space="preserve">商品与价格</t>
    </r>
  </si>
  <si>
    <t xml:space="preserve">商品标题</t>
  </si>
  <si>
    <t xml:space="preserve">按实际商品填写。切换为针织衫后，请检查标题是否仍带“两件套”。</t>
  </si>
  <si>
    <t xml:space="preserve">商品货号</t>
  </si>
  <si>
    <r>
      <rPr>
        <sz val="10"/>
        <color rgb="FF66758D"/>
        <rFont val="Linux Libertine G"/>
        <family val="2"/>
      </rPr>
      <t xml:space="preserve">例：</t>
    </r>
    <r>
      <rPr>
        <sz val="10"/>
        <color rgb="FF66758D"/>
        <rFont val="PingFang SC"/>
        <family val="2"/>
        <charset val="1"/>
      </rPr>
      <t xml:space="preserve">WQ261</t>
    </r>
    <r>
      <rPr>
        <sz val="10"/>
        <color rgb="FF66758D"/>
        <rFont val="Linux Libertine G"/>
        <family val="2"/>
      </rPr>
      <t xml:space="preserve">。按你的约定，商品编码沿用货号，不重复设置商品编码。</t>
    </r>
  </si>
  <si>
    <t xml:space="preserve">商品参考价（元）</t>
  </si>
  <si>
    <t xml:space="preserve">填写实际参考价，不自动推算。现有读取规则要求大于最高单买价。</t>
  </si>
  <si>
    <t xml:space="preserve">折扣（几折）</t>
  </si>
  <si>
    <r>
      <rPr>
        <sz val="10"/>
        <color rgb="FF66758D"/>
        <rFont val="Linux Libertine G"/>
        <family val="2"/>
      </rPr>
      <t xml:space="preserve">已观察后台为满</t>
    </r>
    <r>
      <rPr>
        <sz val="10"/>
        <color rgb="FF66758D"/>
        <rFont val="PingFang SC"/>
        <family val="2"/>
        <charset val="1"/>
      </rPr>
      <t xml:space="preserve">2</t>
    </r>
    <r>
      <rPr>
        <sz val="10"/>
        <color rgb="FF66758D"/>
        <rFont val="Linux Libertine G"/>
        <family val="2"/>
      </rPr>
      <t xml:space="preserve">件，填</t>
    </r>
    <r>
      <rPr>
        <sz val="10"/>
        <color rgb="FF66758D"/>
        <rFont val="PingFang SC"/>
        <family val="2"/>
        <charset val="1"/>
      </rPr>
      <t xml:space="preserve">5.0</t>
    </r>
    <r>
      <rPr>
        <sz val="10"/>
        <color rgb="FF66758D"/>
        <rFont val="Linux Libertine G"/>
        <family val="2"/>
      </rPr>
      <t xml:space="preserve">～</t>
    </r>
    <r>
      <rPr>
        <sz val="10"/>
        <color rgb="FF66758D"/>
        <rFont val="PingFang SC"/>
        <family val="2"/>
        <charset val="1"/>
      </rPr>
      <t xml:space="preserve">9.9</t>
    </r>
    <r>
      <rPr>
        <sz val="10"/>
        <color rgb="FF66758D"/>
        <rFont val="Linux Libertine G"/>
        <family val="2"/>
      </rPr>
      <t xml:space="preserve">折。只填折扣，不重复填写开关和件数。</t>
    </r>
  </si>
  <si>
    <t xml:space="preserve">首图编号</t>
  </si>
  <si>
    <r>
      <rPr>
        <sz val="10"/>
        <color rgb="FF66758D"/>
        <rFont val="Linux Libertine G"/>
        <family val="2"/>
      </rPr>
      <t xml:space="preserve">例：</t>
    </r>
    <r>
      <rPr>
        <sz val="10"/>
        <color rgb="FF66758D"/>
        <rFont val="PingFang SC"/>
        <family val="2"/>
        <charset val="1"/>
      </rPr>
      <t xml:space="preserve">04</t>
    </r>
    <r>
      <rPr>
        <sz val="10"/>
        <color rgb="FF66758D"/>
        <rFont val="Linux Libertine G"/>
        <family val="2"/>
      </rPr>
      <t xml:space="preserve">。也可在</t>
    </r>
    <r>
      <rPr>
        <sz val="10"/>
        <color rgb="FF66758D"/>
        <rFont val="PingFang SC"/>
        <family val="2"/>
        <charset val="1"/>
      </rPr>
      <t xml:space="preserve">App</t>
    </r>
    <r>
      <rPr>
        <sz val="10"/>
        <color rgb="FF66758D"/>
        <rFont val="Linux Libertine G"/>
        <family val="2"/>
      </rPr>
      <t xml:space="preserve">确认首图；详情尺码图后的第一张商品图沿用它。</t>
    </r>
  </si>
  <si>
    <r>
      <rPr>
        <b val="true"/>
        <sz val="11"/>
        <color rgb="FF2455E8"/>
        <rFont val="PingFang SC"/>
        <family val="2"/>
        <charset val="1"/>
      </rPr>
      <t xml:space="preserve">02  </t>
    </r>
    <r>
      <rPr>
        <b val="true"/>
        <sz val="11"/>
        <color rgb="FF2455E8"/>
        <rFont val="Linux Libertine G"/>
        <family val="2"/>
      </rPr>
      <t xml:space="preserve">商品属性</t>
    </r>
  </si>
  <si>
    <t xml:space="preserve">品牌</t>
  </si>
  <si>
    <r>
      <rPr>
        <sz val="10"/>
        <color rgb="FF66758D"/>
        <rFont val="Linux Libertine G"/>
        <family val="2"/>
      </rPr>
      <t xml:space="preserve">按实际填写。原表值：无品牌</t>
    </r>
    <r>
      <rPr>
        <sz val="10"/>
        <color rgb="FF66758D"/>
        <rFont val="PingFang SC"/>
        <family val="2"/>
        <charset val="1"/>
      </rPr>
      <t xml:space="preserve">/</t>
    </r>
    <r>
      <rPr>
        <sz val="10"/>
        <color rgb="FF66758D"/>
        <rFont val="Linux Libertine G"/>
        <family val="2"/>
      </rPr>
      <t xml:space="preserve">无注册商标；不作为所有商品默认值。</t>
    </r>
  </si>
  <si>
    <t xml:space="preserve">面料俗称</t>
  </si>
  <si>
    <t xml:space="preserve">套装的面料俗称与材质至少填写一项；例：涤纶。</t>
  </si>
  <si>
    <t xml:space="preserve">材质</t>
  </si>
  <si>
    <t xml:space="preserve">仅套装适用。例：涤纶（聚酯纤维）；已填面料俗称时可留空。</t>
  </si>
  <si>
    <t xml:space="preserve">成分含量</t>
  </si>
  <si>
    <r>
      <rPr>
        <sz val="10"/>
        <color rgb="FF66758D"/>
        <rFont val="Linux Libertine G"/>
        <family val="2"/>
      </rPr>
      <t xml:space="preserve">套装使用区间。原表值：</t>
    </r>
    <r>
      <rPr>
        <sz val="10"/>
        <color rgb="FF66758D"/>
        <rFont val="PingFang SC"/>
        <family val="2"/>
        <charset val="1"/>
      </rPr>
      <t xml:space="preserve">30%</t>
    </r>
    <r>
      <rPr>
        <sz val="10"/>
        <color rgb="FF66758D"/>
        <rFont val="Linux Libertine G"/>
        <family val="2"/>
      </rPr>
      <t xml:space="preserve">（含）</t>
    </r>
    <r>
      <rPr>
        <sz val="10"/>
        <color rgb="FF66758D"/>
        <rFont val="PingFang SC"/>
        <family val="2"/>
        <charset val="1"/>
      </rPr>
      <t xml:space="preserve">-50%</t>
    </r>
    <r>
      <rPr>
        <sz val="10"/>
        <color rgb="FF66758D"/>
        <rFont val="Linux Libertine G"/>
        <family val="2"/>
      </rPr>
      <t xml:space="preserve">（不含）；请按真实商品填写。</t>
    </r>
  </si>
  <si>
    <t xml:space="preserve">材质成分</t>
  </si>
  <si>
    <r>
      <rPr>
        <sz val="10"/>
        <color rgb="FF66758D"/>
        <rFont val="Linux Libertine G"/>
        <family val="2"/>
      </rPr>
      <t xml:space="preserve">针织衫需要具体百分比。格式例：涤纶</t>
    </r>
    <r>
      <rPr>
        <sz val="10"/>
        <color rgb="FF66758D"/>
        <rFont val="PingFang SC"/>
        <family val="2"/>
        <charset val="1"/>
      </rPr>
      <t xml:space="preserve">40%</t>
    </r>
    <r>
      <rPr>
        <sz val="10"/>
        <color rgb="FF66758D"/>
        <rFont val="Linux Libertine G"/>
        <family val="2"/>
      </rPr>
      <t xml:space="preserve">、腈纶</t>
    </r>
    <r>
      <rPr>
        <sz val="10"/>
        <color rgb="FF66758D"/>
        <rFont val="PingFang SC"/>
        <family val="2"/>
        <charset val="1"/>
      </rPr>
      <t xml:space="preserve">60%</t>
    </r>
    <r>
      <rPr>
        <sz val="10"/>
        <color rgb="FF66758D"/>
        <rFont val="Linux Libertine G"/>
        <family val="2"/>
      </rPr>
      <t xml:space="preserve">；只是格式示例。</t>
    </r>
  </si>
  <si>
    <t xml:space="preserve">主风格</t>
  </si>
  <si>
    <t xml:space="preserve">按平台选项填写；原表值：简约通勤。</t>
  </si>
  <si>
    <t xml:space="preserve">风格</t>
  </si>
  <si>
    <t xml:space="preserve">原表值：简约。</t>
  </si>
  <si>
    <t xml:space="preserve">袖长</t>
  </si>
  <si>
    <t xml:space="preserve">原表值：长袖。</t>
  </si>
  <si>
    <t xml:space="preserve">是否加绒</t>
  </si>
  <si>
    <t xml:space="preserve">原表值：不加绒。按实物填写。</t>
  </si>
  <si>
    <t xml:space="preserve">上市时节</t>
  </si>
  <si>
    <r>
      <rPr>
        <sz val="10"/>
        <color rgb="FF66758D"/>
        <rFont val="Linux Libertine G"/>
        <family val="2"/>
      </rPr>
      <t xml:space="preserve">原表值：</t>
    </r>
    <r>
      <rPr>
        <sz val="10"/>
        <color rgb="FF66758D"/>
        <rFont val="PingFang SC"/>
        <family val="2"/>
        <charset val="1"/>
      </rPr>
      <t xml:space="preserve">2026</t>
    </r>
    <r>
      <rPr>
        <sz val="10"/>
        <color rgb="FF66758D"/>
        <rFont val="Linux Libertine G"/>
        <family val="2"/>
      </rPr>
      <t xml:space="preserve">年秋季。</t>
    </r>
  </si>
  <si>
    <t xml:space="preserve">流行元素</t>
  </si>
  <si>
    <t xml:space="preserve">原表值：纯色。多项用顿号分隔，按后台可选项填写。</t>
  </si>
  <si>
    <t xml:space="preserve">适用年龄</t>
  </si>
  <si>
    <r>
      <rPr>
        <sz val="10"/>
        <color rgb="FF66758D"/>
        <rFont val="Linux Libertine G"/>
        <family val="2"/>
      </rPr>
      <t xml:space="preserve">原表值：中青年（</t>
    </r>
    <r>
      <rPr>
        <sz val="10"/>
        <color rgb="FF66758D"/>
        <rFont val="PingFang SC"/>
        <family val="2"/>
        <charset val="1"/>
      </rPr>
      <t xml:space="preserve">26-40</t>
    </r>
    <r>
      <rPr>
        <sz val="10"/>
        <color rgb="FF66758D"/>
        <rFont val="Linux Libertine G"/>
        <family val="2"/>
      </rPr>
      <t xml:space="preserve">周岁）。类目切换后核对可选范围。</t>
    </r>
  </si>
  <si>
    <t xml:space="preserve">穿着方式</t>
  </si>
  <si>
    <t xml:space="preserve">原表值：套头。</t>
  </si>
  <si>
    <t xml:space="preserve">服装版型</t>
  </si>
  <si>
    <t xml:space="preserve">没有明确资料时留空，不填写“不填写”等占位文字。</t>
  </si>
  <si>
    <r>
      <rPr>
        <b val="true"/>
        <sz val="11"/>
        <color rgb="FF2455E8"/>
        <rFont val="PingFang SC"/>
        <family val="2"/>
        <charset val="1"/>
      </rPr>
      <t xml:space="preserve">03  </t>
    </r>
    <r>
      <rPr>
        <b val="true"/>
        <sz val="11"/>
        <color rgb="FF2455E8"/>
        <rFont val="Linux Libertine G"/>
        <family val="2"/>
      </rPr>
      <t xml:space="preserve">时尚套装专用</t>
    </r>
  </si>
  <si>
    <t xml:space="preserve">款式</t>
  </si>
  <si>
    <t xml:space="preserve">例：裤套装。针织衫不用这个套装属性。</t>
  </si>
  <si>
    <t xml:space="preserve">弹力</t>
  </si>
  <si>
    <t xml:space="preserve">当前套装执行器支持；针织衫当前适配字段未包含。</t>
  </si>
  <si>
    <r>
      <rPr>
        <sz val="11"/>
        <color rgb="FF182338"/>
        <rFont val="Linux Libertine G"/>
        <family val="2"/>
      </rPr>
      <t xml:space="preserve">裙长</t>
    </r>
    <r>
      <rPr>
        <sz val="11"/>
        <color rgb="FF182338"/>
        <rFont val="PingFang SC"/>
        <family val="2"/>
        <charset val="1"/>
      </rPr>
      <t xml:space="preserve">/</t>
    </r>
    <r>
      <rPr>
        <sz val="11"/>
        <color rgb="FF182338"/>
        <rFont val="Linux Libertine G"/>
        <family val="2"/>
      </rPr>
      <t xml:space="preserve">裤长</t>
    </r>
  </si>
  <si>
    <t xml:space="preserve">例：长裤。</t>
  </si>
  <si>
    <t xml:space="preserve">填充物</t>
  </si>
  <si>
    <t xml:space="preserve">有实际资料再填。</t>
  </si>
  <si>
    <t xml:space="preserve">地理标志</t>
  </si>
  <si>
    <r>
      <rPr>
        <b val="true"/>
        <sz val="11"/>
        <color rgb="FF2455E8"/>
        <rFont val="PingFang SC"/>
        <family val="2"/>
        <charset val="1"/>
      </rPr>
      <t xml:space="preserve">04  </t>
    </r>
    <r>
      <rPr>
        <b val="true"/>
        <sz val="11"/>
        <color rgb="FF2455E8"/>
        <rFont val="Linux Libertine G"/>
        <family val="2"/>
      </rPr>
      <t xml:space="preserve">针织衫专用</t>
    </r>
  </si>
  <si>
    <t xml:space="preserve">衣长</t>
  </si>
  <si>
    <t xml:space="preserve">按针织衫后台对应选项填写。</t>
  </si>
  <si>
    <t xml:space="preserve">组合形式</t>
  </si>
  <si>
    <t xml:space="preserve">按针织衫后台对应选项填写，不从套装属性推断。</t>
  </si>
  <si>
    <t xml:space="preserve">领型</t>
  </si>
  <si>
    <t xml:space="preserve">按实物及后台选项填写。</t>
  </si>
  <si>
    <t xml:space="preserve">重量</t>
  </si>
  <si>
    <t xml:space="preserve">使用后台选项的完整文字和单位，不猜测重量。</t>
  </si>
  <si>
    <t xml:space="preserve">本表“必填”按现有脚本及已确认业务规则标记；网页新增必填项仍需核对。平台“重要”提示不等于必填。</t>
  </si>
  <si>
    <t xml:space="preserve">款式与尺码</t>
  </si>
  <si>
    <r>
      <rPr>
        <sz val="10"/>
        <color rgb="FF66758D"/>
        <rFont val="Linux Libertine G"/>
        <family val="2"/>
      </rPr>
      <t xml:space="preserve">每个款式填写一行，下方填写共有尺码。两张表组合成</t>
    </r>
    <r>
      <rPr>
        <sz val="10"/>
        <color rgb="FF66758D"/>
        <rFont val="PingFang SC"/>
        <family val="2"/>
        <charset val="1"/>
      </rPr>
      <t xml:space="preserve">SKU</t>
    </r>
    <r>
      <rPr>
        <sz val="10"/>
        <color rgb="FF66758D"/>
        <rFont val="Linux Libertine G"/>
        <family val="2"/>
      </rPr>
      <t xml:space="preserve">；价格、库存均按实际填写。</t>
    </r>
  </si>
  <si>
    <t xml:space="preserve">切换类目不会清除这里的款式和价格。没有用到的整行留空；浅蓝格可填写。</t>
  </si>
  <si>
    <t xml:space="preserve">款式名称</t>
  </si>
  <si>
    <t xml:space="preserve">款式备注</t>
  </si>
  <si>
    <t xml:space="preserve">统一拼单价（元）</t>
  </si>
  <si>
    <t xml:space="preserve">统一单买价（元）</t>
  </si>
  <si>
    <t xml:space="preserve">每尺码库存</t>
  </si>
  <si>
    <t xml:space="preserve">对应主图编号</t>
  </si>
  <si>
    <t xml:space="preserve">规格编码前缀</t>
  </si>
  <si>
    <t xml:space="preserve">状态</t>
  </si>
  <si>
    <t xml:space="preserve">必填：款式名称、拼单价、单买价、每尺码库存；备注、图片、规格编码前缀、状态选填。</t>
  </si>
  <si>
    <r>
      <rPr>
        <sz val="10"/>
        <color rgb="FF66758D"/>
        <rFont val="Linux Libertine G"/>
        <family val="2"/>
      </rPr>
      <t xml:space="preserve">商品级编码沿用货号；这里的“规格编码前缀”只用于各</t>
    </r>
    <r>
      <rPr>
        <sz val="10"/>
        <color rgb="FF66758D"/>
        <rFont val="PingFang SC"/>
        <family val="2"/>
        <charset val="1"/>
      </rPr>
      <t xml:space="preserve">SKU</t>
    </r>
    <r>
      <rPr>
        <sz val="10"/>
        <color rgb="FF66758D"/>
        <rFont val="Linux Libertine G"/>
        <family val="2"/>
      </rPr>
      <t xml:space="preserve">，留空不自动编造。</t>
    </r>
  </si>
  <si>
    <r>
      <rPr>
        <b val="true"/>
        <sz val="11"/>
        <color rgb="FF2455E8"/>
        <rFont val="Linux Libertine G"/>
        <family val="2"/>
      </rPr>
      <t xml:space="preserve">共有尺码  </t>
    </r>
    <r>
      <rPr>
        <b val="true"/>
        <sz val="11"/>
        <color rgb="FF2455E8"/>
        <rFont val="PingFang SC"/>
        <family val="2"/>
        <charset val="1"/>
      </rPr>
      <t xml:space="preserve">/  </t>
    </r>
    <r>
      <rPr>
        <b val="true"/>
        <sz val="11"/>
        <color rgb="FF2455E8"/>
        <rFont val="Linux Libertine G"/>
        <family val="2"/>
      </rPr>
      <t xml:space="preserve">至少填一个；显示备注选填</t>
    </r>
  </si>
  <si>
    <t xml:space="preserve">尺码</t>
  </si>
  <si>
    <t xml:space="preserve">显示备注</t>
  </si>
  <si>
    <t xml:space="preserve">填写参考（仅示例，不是默认值）</t>
  </si>
  <si>
    <t xml:space="preserve">上衣</t>
  </si>
  <si>
    <t xml:space="preserve">单件</t>
  </si>
  <si>
    <t xml:space="preserve">S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</si>
  <si>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80-100</t>
    </r>
    <r>
      <rPr>
        <sz val="10"/>
        <color rgb="FF347653"/>
        <rFont val="Linux Libertine G"/>
        <family val="2"/>
      </rPr>
      <t xml:space="preserve">斤）</t>
    </r>
  </si>
  <si>
    <t xml:space="preserve">M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</si>
  <si>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100-115</t>
    </r>
    <r>
      <rPr>
        <sz val="10"/>
        <color rgb="FF347653"/>
        <rFont val="Linux Libertine G"/>
        <family val="2"/>
      </rPr>
      <t xml:space="preserve">斤）</t>
    </r>
  </si>
  <si>
    <t xml:space="preserve">L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</si>
  <si>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115-130</t>
    </r>
    <r>
      <rPr>
        <sz val="10"/>
        <color rgb="FF347653"/>
        <rFont val="Linux Libertine G"/>
        <family val="2"/>
      </rPr>
      <t xml:space="preserve">斤）</t>
    </r>
  </si>
  <si>
    <t xml:space="preserve">XL</t>
  </si>
  <si>
    <r>
      <rPr>
        <sz val="10"/>
        <color rgb="FF347653"/>
        <rFont val="Linux Libertine G"/>
        <family val="2"/>
      </rPr>
      <t xml:space="preserve">（</t>
    </r>
    <r>
      <rPr>
        <sz val="10"/>
        <color rgb="FF347653"/>
        <rFont val="PingFang SC"/>
        <family val="2"/>
        <charset val="1"/>
      </rPr>
      <t xml:space="preserve">130-145</t>
    </r>
    <r>
      <rPr>
        <sz val="10"/>
        <color rgb="FF347653"/>
        <rFont val="Linux Libertine G"/>
        <family val="2"/>
      </rPr>
      <t xml:space="preserve">斤）</t>
    </r>
  </si>
  <si>
    <r>
      <rPr>
        <sz val="10"/>
        <color rgb="FF66758D"/>
        <rFont val="Linux Libertine G"/>
        <family val="2"/>
      </rPr>
      <t xml:space="preserve">没有图片或备注时留空。不要为了凑模板填写占位词。若个别尺码价格不同，现有</t>
    </r>
    <r>
      <rPr>
        <sz val="10"/>
        <color rgb="FF66758D"/>
        <rFont val="PingFang SC"/>
        <family val="2"/>
        <charset val="1"/>
      </rPr>
      <t xml:space="preserve">App</t>
    </r>
    <r>
      <rPr>
        <sz val="10"/>
        <color rgb="FF66758D"/>
        <rFont val="Linux Libertine G"/>
        <family val="2"/>
      </rPr>
      <t xml:space="preserve">另有“个别尺码调整”读取能力；本预览暂不展开该页。</t>
    </r>
  </si>
  <si>
    <t xml:space="preserve">服务与承诺</t>
  </si>
  <si>
    <t xml:space="preserve">两类目共用。仅列当前脚本支持的配置；真实店铺选项与平台当时规则仍需核对。</t>
  </si>
  <si>
    <t xml:space="preserve">不预设运费、发货天数或额外承诺。请按真实商品及店铺设置填写。</t>
  </si>
  <si>
    <t xml:space="preserve">必填</t>
  </si>
  <si>
    <t xml:space="preserve">当前执行器仅支持普通商品。</t>
  </si>
  <si>
    <t xml:space="preserve">是否二手</t>
  </si>
  <si>
    <t xml:space="preserve">当前执行器仅支持非二手。</t>
  </si>
  <si>
    <t xml:space="preserve">是否定制</t>
  </si>
  <si>
    <t xml:space="preserve">当前执行器仅支持非定制。</t>
  </si>
  <si>
    <t xml:space="preserve">发货模式</t>
  </si>
  <si>
    <t xml:space="preserve">本预览沿用已适配的时段预售，不新增未经验证的发货模式。</t>
  </si>
  <si>
    <r>
      <rPr>
        <sz val="11"/>
        <color rgb="FF182338"/>
        <rFont val="Linux Libertine G"/>
        <family val="2"/>
      </rPr>
      <t xml:space="preserve">承诺发货时间</t>
    </r>
    <r>
      <rPr>
        <sz val="11"/>
        <color rgb="FF182338"/>
        <rFont val="PingFang SC"/>
        <family val="2"/>
        <charset val="1"/>
      </rPr>
      <t xml:space="preserve">/</t>
    </r>
    <r>
      <rPr>
        <sz val="11"/>
        <color rgb="FF182338"/>
        <rFont val="Linux Libertine G"/>
        <family val="2"/>
      </rPr>
      <t xml:space="preserve">时效</t>
    </r>
  </si>
  <si>
    <r>
      <rPr>
        <sz val="10"/>
        <color rgb="FF66758D"/>
        <rFont val="Linux Libertine G"/>
        <family val="2"/>
      </rPr>
      <t xml:space="preserve">时段预售填写</t>
    </r>
    <r>
      <rPr>
        <sz val="10"/>
        <color rgb="FF66758D"/>
        <rFont val="PingFang SC"/>
        <family val="2"/>
        <charset val="1"/>
      </rPr>
      <t xml:space="preserve">3</t>
    </r>
    <r>
      <rPr>
        <sz val="10"/>
        <color rgb="FF66758D"/>
        <rFont val="Linux Libertine G"/>
        <family val="2"/>
      </rPr>
      <t xml:space="preserve">～</t>
    </r>
    <r>
      <rPr>
        <sz val="10"/>
        <color rgb="FF66758D"/>
        <rFont val="PingFang SC"/>
        <family val="2"/>
        <charset val="1"/>
      </rPr>
      <t xml:space="preserve">30</t>
    </r>
    <r>
      <rPr>
        <sz val="10"/>
        <color rgb="FF66758D"/>
        <rFont val="Linux Libertine G"/>
        <family val="2"/>
      </rPr>
      <t xml:space="preserve">天内发货。格式例：</t>
    </r>
    <r>
      <rPr>
        <sz val="10"/>
        <color rgb="FF66758D"/>
        <rFont val="PingFang SC"/>
        <family val="2"/>
        <charset val="1"/>
      </rPr>
      <t xml:space="preserve">10</t>
    </r>
    <r>
      <rPr>
        <sz val="10"/>
        <color rgb="FF66758D"/>
        <rFont val="Linux Libertine G"/>
        <family val="2"/>
      </rPr>
      <t xml:space="preserve">天内发货。</t>
    </r>
  </si>
  <si>
    <t xml:space="preserve">运费模板</t>
  </si>
  <si>
    <t xml:space="preserve">填写目标店铺中完整模板名称。原表值：内地包邮默认模板。</t>
  </si>
  <si>
    <r>
      <rPr>
        <sz val="11"/>
        <color rgb="FF182338"/>
        <rFont val="PingFang SC"/>
        <family val="2"/>
        <charset val="1"/>
      </rPr>
      <t xml:space="preserve">7</t>
    </r>
    <r>
      <rPr>
        <sz val="11"/>
        <color rgb="FF182338"/>
        <rFont val="Linux Libertine G"/>
        <family val="2"/>
      </rPr>
      <t xml:space="preserve">天无理由退货</t>
    </r>
  </si>
  <si>
    <t xml:space="preserve">选填</t>
  </si>
  <si>
    <t xml:space="preserve">有明确设置再填；原表值：支持。</t>
  </si>
  <si>
    <t xml:space="preserve">假一赔十</t>
  </si>
  <si>
    <t xml:space="preserve">有明确设置再填；原表值：不开通。</t>
  </si>
  <si>
    <t xml:space="preserve">运费范围及收费规则</t>
  </si>
  <si>
    <t xml:space="preserve">用于核对运费设置；原表值：大陆包邮，港澳台不发。</t>
  </si>
  <si>
    <t xml:space="preserve">拼单人数</t>
  </si>
  <si>
    <r>
      <rPr>
        <sz val="10"/>
        <color rgb="FF66758D"/>
        <rFont val="Linux Libertine G"/>
        <family val="2"/>
      </rPr>
      <t xml:space="preserve">原表值：</t>
    </r>
    <r>
      <rPr>
        <sz val="10"/>
        <color rgb="FF66758D"/>
        <rFont val="PingFang SC"/>
        <family val="2"/>
        <charset val="1"/>
      </rPr>
      <t xml:space="preserve">2</t>
    </r>
    <r>
      <rPr>
        <sz val="10"/>
        <color rgb="FF66758D"/>
        <rFont val="Linux Libertine G"/>
        <family val="2"/>
      </rPr>
      <t xml:space="preserve">；按当前平台实际设置核对。</t>
    </r>
  </si>
  <si>
    <t xml:space="preserve">其他服务设置</t>
  </si>
  <si>
    <t xml:space="preserve">当前可核对“不开通额外服务”；不支持任意文字开通新服务。</t>
  </si>
  <si>
    <t xml:space="preserve">素材准备（说明，不是需要重复填写的配置项）</t>
  </si>
  <si>
    <t xml:space="preserve">主图</t>
  </si>
  <si>
    <r>
      <rPr>
        <sz val="10"/>
        <color rgb="FF66758D"/>
        <rFont val="Linux Libertine G"/>
        <family val="2"/>
      </rPr>
      <t xml:space="preserve">通常准备</t>
    </r>
    <r>
      <rPr>
        <sz val="10"/>
        <color rgb="FF66758D"/>
        <rFont val="PingFang SC"/>
        <family val="2"/>
        <charset val="1"/>
      </rPr>
      <t xml:space="preserve">5</t>
    </r>
    <r>
      <rPr>
        <sz val="10"/>
        <color rgb="FF66758D"/>
        <rFont val="Linux Libertine G"/>
        <family val="2"/>
      </rPr>
      <t xml:space="preserve">～</t>
    </r>
    <r>
      <rPr>
        <sz val="10"/>
        <color rgb="FF66758D"/>
        <rFont val="PingFang SC"/>
        <family val="2"/>
        <charset val="1"/>
      </rPr>
      <t xml:space="preserve">6</t>
    </r>
    <r>
      <rPr>
        <sz val="10"/>
        <color rgb="FF66758D"/>
        <rFont val="Linux Libertine G"/>
        <family val="2"/>
      </rPr>
      <t xml:space="preserve">张不重复原图，运行时循环上传为</t>
    </r>
    <r>
      <rPr>
        <sz val="10"/>
        <color rgb="FF66758D"/>
        <rFont val="PingFang SC"/>
        <family val="2"/>
        <charset val="1"/>
      </rPr>
      <t xml:space="preserve">10</t>
    </r>
    <r>
      <rPr>
        <sz val="10"/>
        <color rgb="FF66758D"/>
        <rFont val="Linux Libertine G"/>
        <family val="2"/>
      </rPr>
      <t xml:space="preserve">张；原库不复制凑数。</t>
    </r>
  </si>
  <si>
    <t xml:space="preserve">详情</t>
  </si>
  <si>
    <r>
      <rPr>
        <sz val="10"/>
        <color rgb="FF66758D"/>
        <rFont val="Linux Libertine G"/>
        <family val="2"/>
      </rPr>
      <t xml:space="preserve">复用主图生成</t>
    </r>
    <r>
      <rPr>
        <sz val="10"/>
        <color rgb="FF66758D"/>
        <rFont val="PingFang SC"/>
        <family val="2"/>
        <charset val="1"/>
      </rPr>
      <t xml:space="preserve">17</t>
    </r>
    <r>
      <rPr>
        <sz val="10"/>
        <color rgb="FF66758D"/>
        <rFont val="Linux Libertine G"/>
        <family val="2"/>
      </rPr>
      <t xml:space="preserve">张；有尺码图时第一张只放一次，第二张跟随主图首图。无需另建详情图文件夹。</t>
    </r>
  </si>
  <si>
    <t xml:space="preserve">尺码图</t>
  </si>
  <si>
    <t xml:space="preserve">有则放在详情第一张；没有时当前脚本会跳过，不新增硬性必填。</t>
  </si>
  <si>
    <r>
      <rPr>
        <sz val="11"/>
        <color rgb="FF182338"/>
        <rFont val="Linux Libertine G"/>
        <family val="2"/>
      </rPr>
      <t xml:space="preserve">白底图 </t>
    </r>
    <r>
      <rPr>
        <sz val="11"/>
        <color rgb="FF182338"/>
        <rFont val="PingFang SC"/>
        <family val="2"/>
        <charset val="1"/>
      </rPr>
      <t xml:space="preserve">/ </t>
    </r>
    <r>
      <rPr>
        <sz val="11"/>
        <color rgb="FF182338"/>
        <rFont val="Linux Libertine G"/>
        <family val="2"/>
      </rPr>
      <t xml:space="preserve">包装标签图</t>
    </r>
  </si>
  <si>
    <t xml:space="preserve">有则读取并校验后上传，没有则跳过；当前网页明确要求必填时另提示。</t>
  </si>
  <si>
    <r>
      <rPr>
        <sz val="11"/>
        <color rgb="FF182338"/>
        <rFont val="Linux Libertine G"/>
        <family val="2"/>
      </rPr>
      <t xml:space="preserve">视频 </t>
    </r>
    <r>
      <rPr>
        <sz val="11"/>
        <color rgb="FF182338"/>
        <rFont val="PingFang SC"/>
        <family val="2"/>
        <charset val="1"/>
      </rPr>
      <t xml:space="preserve">/ </t>
    </r>
    <r>
      <rPr>
        <sz val="11"/>
        <color rgb="FF182338"/>
        <rFont val="Linux Libertine G"/>
        <family val="2"/>
      </rPr>
      <t xml:space="preserve">长图等</t>
    </r>
  </si>
  <si>
    <t xml:space="preserve">选填。没有文件或目录可省略；视频处理不作为商品事实默认值。</t>
  </si>
  <si>
    <t xml:space="preserve">固定操作</t>
  </si>
  <si>
    <t xml:space="preserve">仅保存草稿；商品编码沿用货号；不再要求重复填写“适用平台”“资料已核对”等控制项。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</si>
</sst>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20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1"/>
      <color rgb="FFFFFFFF"/>
      <name val="Linux Libertine G"/>
      <family val="2"/>
    </font>
    <font>
      <sz val="10"/>
      <color rgb="FF66758D"/>
      <name val="Linux Libertine G"/>
      <family val="2"/>
    </font>
    <font>
      <sz val="10"/>
      <color rgb="FF66758D"/>
      <name val="PingFang SC"/>
      <family val="2"/>
      <charset val="1"/>
    </font>
    <font>
      <sz val="11"/>
      <color rgb="FF182338"/>
      <name val="Linux Libertine G"/>
      <family val="2"/>
    </font>
    <font>
      <b val="true"/>
      <sz val="14"/>
      <color rgb="FF2455E8"/>
      <name val="Linux Libertine G"/>
      <family val="2"/>
    </font>
    <font>
      <b val="true"/>
      <sz val="11"/>
      <color rgb="FF2455E8"/>
      <name val="Linux Libertine G"/>
      <family val="2"/>
    </font>
    <font>
      <sz val="11"/>
      <color rgb="FF182338"/>
      <name val="PingFang SC"/>
      <family val="2"/>
      <charset val="1"/>
    </font>
    <font>
      <b val="true"/>
      <sz val="11"/>
      <color rgb="FF182338"/>
      <name val="Linux Libertine G"/>
      <family val="2"/>
    </font>
    <font>
      <b val="true"/>
      <sz val="11"/>
      <color rgb="FF182338"/>
      <name val="PingFang SC"/>
      <family val="2"/>
      <charset val="1"/>
    </font>
    <font>
      <b val="true"/>
      <sz val="11"/>
      <color rgb="FF2455E8"/>
      <name val="PingFang SC"/>
      <family val="2"/>
      <charset val="1"/>
    </font>
    <font>
      <sz val="11"/>
      <color rgb="FF2455E8"/>
      <name val="Linux Libertine G"/>
      <family val="2"/>
    </font>
    <font>
      <sz val="10"/>
      <color rgb="FF182338"/>
      <name val="PingFang SC"/>
      <family val="2"/>
      <charset val="1"/>
    </font>
    <font>
      <sz val="10"/>
      <name val="Linux Libertine G"/>
      <family val="2"/>
    </font>
    <font>
      <sz val="10"/>
      <color rgb="FF347653"/>
      <name val="Linux Libertine G"/>
      <family val="2"/>
    </font>
    <font>
      <sz val="10"/>
      <color rgb="FF347653"/>
      <name val="PingFang SC"/>
      <family val="2"/>
      <charset val="1"/>
    </font>
    <font>
      <sz val="10"/>
      <color rgb="FF182338"/>
      <name val="Linux Libertine G"/>
      <family val="2"/>
    </font>
  </fonts>
  <fills count="8">
    <fill>
      <patternFill patternType="none"/>
    </fill>
    <fill>
      <patternFill patternType="gray125"/>
    </fill>
    <fill>
      <patternFill patternType="solid">
        <fgColor rgb="FF2455E8"/>
        <bgColor rgb="FF0066CC"/>
      </patternFill>
    </fill>
    <fill>
      <patternFill patternType="solid">
        <fgColor rgb="FFE5EDFF"/>
        <bgColor rgb="FFEAF0FE"/>
      </patternFill>
    </fill>
    <fill>
      <patternFill patternType="solid">
        <fgColor rgb="FFF6F8FC"/>
        <bgColor rgb="FFF0F6FF"/>
      </patternFill>
    </fill>
    <fill>
      <patternFill patternType="solid">
        <fgColor rgb="FFF0F3F8"/>
        <bgColor rgb="FFF0F1F3"/>
      </patternFill>
    </fill>
    <fill>
      <patternFill patternType="solid">
        <fgColor rgb="FFEAF0FE"/>
        <bgColor rgb="FFE5EDFF"/>
      </patternFill>
    </fill>
    <fill>
      <patternFill patternType="solid">
        <fgColor rgb="FFF0F6FF"/>
        <bgColor rgb="FFF0F3F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BF2"/>
      </bottom>
      <diagonal/>
    </border>
    <border diagonalUp="false" diagonalDown="false">
      <left/>
      <right/>
      <top/>
      <bottom style="thin">
        <color rgb="FFD9E1EF"/>
      </bottom>
      <diagonal/>
    </border>
    <border diagonalUp="false" diagonalDown="false">
      <left/>
      <right/>
      <top/>
      <bottom style="thin">
        <color rgb="FFDBE5F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2"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A0A6AF"/>
      </font>
      <fill>
        <patternFill>
          <bgColor rgb="FFF0F1F3"/>
        </patternFill>
      </fill>
    </dxf>
    <dxf>
      <font>
        <color rgb="FFB13F25"/>
      </font>
      <fill>
        <patternFill>
          <bgColor rgb="FFFFF0EB"/>
        </patternFill>
      </fill>
    </dxf>
    <dxf>
      <font>
        <b val="1"/>
        <color rgb="FF2455E8"/>
      </font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  <dxf>
      <font>
        <color rgb="FFB13F25"/>
      </font>
      <fill>
        <patternFill>
          <bgColor rgb="FFFFF0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BE5F5"/>
      <rgbColor rgb="FF808080"/>
      <rgbColor rgb="FF9999FF"/>
      <rgbColor rgb="FF993366"/>
      <rgbColor rgb="FFFFF0EB"/>
      <rgbColor rgb="FFE5EDFF"/>
      <rgbColor rgb="FF660066"/>
      <rgbColor rgb="FFFF8080"/>
      <rgbColor rgb="FF0066CC"/>
      <rgbColor rgb="FFD9E1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E"/>
      <rgbColor rgb="FFE7EBF2"/>
      <rgbColor rgb="FFF0F1F3"/>
      <rgbColor rgb="FFF0F6FF"/>
      <rgbColor rgb="FFF6F8FC"/>
      <rgbColor rgb="FFCC99FF"/>
      <rgbColor rgb="FFF0F3F8"/>
      <rgbColor rgb="FF2455E8"/>
      <rgbColor rgb="FF33CCCC"/>
      <rgbColor rgb="FF99CC00"/>
      <rgbColor rgb="FFFFCC00"/>
      <rgbColor rgb="FFFF9900"/>
      <rgbColor rgb="FFFF6600"/>
      <rgbColor rgb="FF66758D"/>
      <rgbColor rgb="FFA0A6AF"/>
      <rgbColor rgb="FF003366"/>
      <rgbColor rgb="FF347653"/>
      <rgbColor rgb="FF003300"/>
      <rgbColor rgb="FF333300"/>
      <rgbColor rgb="FFB13F25"/>
      <rgbColor rgb="FF993366"/>
      <rgbColor rgb="FF333399"/>
      <rgbColor rgb="FF1823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E8"/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B4" activeCellId="0" sqref="B4"/>
    </sheetView>
  </sheetViews>
  <sheetFormatPr defaultColWidth="10.27734375" defaultRowHeight="30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63.61"/>
    <col collapsed="false" customWidth="true" hidden="false" outlineLevel="0" max="3" min="3" style="0" width="17.42"/>
    <col collapsed="false" customWidth="true" hidden="false" outlineLevel="0" max="4" min="4" style="0" width="76.64"/>
  </cols>
  <sheetData>
    <row r="1" customFormat="false" ht="42.75" hidden="false" customHeight="true" outlineLevel="0" collapsed="false">
      <c r="A1" s="1" t="s">
        <v>0</v>
      </c>
      <c r="B1" s="1"/>
      <c r="C1" s="1"/>
      <c r="D1" s="1"/>
    </row>
    <row r="2" customFormat="false" ht="33.75" hidden="false" customHeight="true" outlineLevel="0" collapsed="false">
      <c r="A2" s="2" t="s">
        <v>1</v>
      </c>
      <c r="B2" s="2"/>
      <c r="C2" s="2"/>
      <c r="D2" s="2"/>
    </row>
    <row r="4" customFormat="false" ht="36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5" customFormat="false" ht="31.5" hidden="false" customHeight="true" outlineLevel="0" collapsed="false">
      <c r="A5" s="3" t="s">
        <v>6</v>
      </c>
      <c r="B5" s="7" t="str">
        <f aca="false">IF(B4="时尚套装","女装/女士精品 &gt; 套装/学生校服/工作制服 &gt; 时尚套装",IF(B4="针织衫","女装/女士精品 &gt; 毛衣/针织衫 &gt; 毛衣/针织衫","请选择商品类型"))</f>
        <v>女装/女士精品 &gt; 毛衣/针织衫 &gt; 毛衣/针织衫</v>
      </c>
      <c r="C5" s="7"/>
      <c r="D5" s="7"/>
    </row>
    <row r="6" customFormat="false" ht="30" hidden="false" customHeight="true" outlineLevel="0" collapsed="false">
      <c r="A6" s="7" t="str">
        <f aca="false">IF(OR(B4="时尚套装",B4="针织衫"),"基础信息待填："&amp;(COUNTIFS(C10:C41,"必填",B10:B41,"")+IF(AND(B4="时尚套装",B18="",B19=""),1,0))&amp;"项（另需填写款式、尺码和服务）","请先选择商品类型")</f>
        <v>基础信息待填：5项（另需填写款式、尺码和服务）</v>
      </c>
      <c r="B6" s="7"/>
      <c r="C6" s="7"/>
      <c r="D6" s="7"/>
    </row>
    <row r="7" customFormat="false" ht="28.5" hidden="false" customHeight="true" outlineLevel="0" collapsed="false">
      <c r="A7" s="2" t="s">
        <v>7</v>
      </c>
      <c r="B7" s="2"/>
      <c r="C7" s="2"/>
      <c r="D7" s="2"/>
    </row>
    <row r="9" customFormat="false" ht="30" hidden="false" customHeight="true" outlineLevel="0" collapsed="false">
      <c r="A9" s="8" t="s">
        <v>8</v>
      </c>
      <c r="B9" s="8" t="s">
        <v>9</v>
      </c>
      <c r="C9" s="8" t="s">
        <v>10</v>
      </c>
      <c r="D9" s="8" t="s">
        <v>11</v>
      </c>
    </row>
    <row r="10" customFormat="false" ht="28.5" hidden="false" customHeight="true" outlineLevel="0" collapsed="false">
      <c r="A10" s="9" t="s">
        <v>12</v>
      </c>
      <c r="B10" s="9"/>
      <c r="C10" s="9"/>
      <c r="D10" s="9"/>
    </row>
    <row r="11" customFormat="false" ht="39.75" hidden="false" customHeight="true" outlineLevel="0" collapsed="false">
      <c r="A11" s="3" t="s">
        <v>13</v>
      </c>
      <c r="B11" s="10"/>
      <c r="C11" s="11" t="str">
        <f aca="false">IF($B$4="时尚套装","必填",IF($B$4="针织衫","必填","请选择类目"))</f>
        <v>必填</v>
      </c>
      <c r="D11" s="6" t="s">
        <v>14</v>
      </c>
    </row>
    <row r="12" customFormat="false" ht="33.75" hidden="false" customHeight="true" outlineLevel="0" collapsed="false">
      <c r="A12" s="3" t="s">
        <v>15</v>
      </c>
      <c r="B12" s="12"/>
      <c r="C12" s="11" t="str">
        <f aca="false">IF($B$4="时尚套装","必填",IF($B$4="针织衫","必填","请选择类目"))</f>
        <v>必填</v>
      </c>
      <c r="D12" s="6" t="s">
        <v>16</v>
      </c>
    </row>
    <row r="13" customFormat="false" ht="33.75" hidden="false" customHeight="true" outlineLevel="0" collapsed="false">
      <c r="A13" s="3" t="s">
        <v>17</v>
      </c>
      <c r="B13" s="13"/>
      <c r="C13" s="11" t="str">
        <f aca="false">IF($B$4="时尚套装","必填",IF($B$4="针织衫","必填","请选择类目"))</f>
        <v>必填</v>
      </c>
      <c r="D13" s="6" t="s">
        <v>18</v>
      </c>
    </row>
    <row r="14" customFormat="false" ht="39.75" hidden="false" customHeight="true" outlineLevel="0" collapsed="false">
      <c r="A14" s="3" t="s">
        <v>19</v>
      </c>
      <c r="B14" s="10"/>
      <c r="C14" s="11" t="str">
        <f aca="false">IF($B$4="时尚套装","必填",IF($B$4="针织衫","必填","请选择类目"))</f>
        <v>必填</v>
      </c>
      <c r="D14" s="6" t="s">
        <v>20</v>
      </c>
    </row>
    <row r="15" customFormat="false" ht="39.75" hidden="false" customHeight="true" outlineLevel="0" collapsed="false">
      <c r="A15" s="3" t="s">
        <v>21</v>
      </c>
      <c r="B15" s="12"/>
      <c r="C15" s="11" t="str">
        <f aca="false">IF($B$4="时尚套装","选填",IF($B$4="针织衫","选填","请选择类目"))</f>
        <v>选填</v>
      </c>
      <c r="D15" s="6" t="s">
        <v>22</v>
      </c>
    </row>
    <row r="16" customFormat="false" ht="28.5" hidden="false" customHeight="true" outlineLevel="0" collapsed="false">
      <c r="A16" s="9" t="s">
        <v>23</v>
      </c>
      <c r="B16" s="9"/>
      <c r="C16" s="9"/>
      <c r="D16" s="9"/>
    </row>
    <row r="17" customFormat="false" ht="33.75" hidden="false" customHeight="true" outlineLevel="0" collapsed="false">
      <c r="A17" s="3" t="s">
        <v>24</v>
      </c>
      <c r="B17" s="10"/>
      <c r="C17" s="11" t="str">
        <f aca="false">IF($B$4="时尚套装","选填",IF($B$4="针织衫","选填","请选择类目"))</f>
        <v>选填</v>
      </c>
      <c r="D17" s="6" t="s">
        <v>25</v>
      </c>
    </row>
    <row r="18" customFormat="false" ht="33.75" hidden="false" customHeight="true" outlineLevel="0" collapsed="false">
      <c r="A18" s="3" t="s">
        <v>26</v>
      </c>
      <c r="B18" s="10"/>
      <c r="C18" s="11" t="str">
        <f aca="false">IF($B$4="时尚套装","至少一项",IF($B$4="针织衫","选填","请选择类目"))</f>
        <v>选填</v>
      </c>
      <c r="D18" s="6" t="s">
        <v>27</v>
      </c>
    </row>
    <row r="19" customFormat="false" ht="33.75" hidden="false" customHeight="true" outlineLevel="0" collapsed="false">
      <c r="A19" s="3" t="s">
        <v>28</v>
      </c>
      <c r="B19" s="10"/>
      <c r="C19" s="11" t="str">
        <f aca="false">IF($B$4="时尚套装","至少一项",IF($B$4="针织衫","不适用","请选择类目"))</f>
        <v>不适用</v>
      </c>
      <c r="D19" s="6" t="s">
        <v>29</v>
      </c>
    </row>
    <row r="20" customFormat="false" ht="33.75" hidden="false" customHeight="true" outlineLevel="0" collapsed="false">
      <c r="A20" s="3" t="s">
        <v>30</v>
      </c>
      <c r="B20" s="10"/>
      <c r="C20" s="11" t="str">
        <f aca="false">IF($B$4="时尚套装","必填",IF($B$4="针织衫","不适用","请选择类目"))</f>
        <v>不适用</v>
      </c>
      <c r="D20" s="6" t="s">
        <v>31</v>
      </c>
    </row>
    <row r="21" customFormat="false" ht="39.75" hidden="false" customHeight="true" outlineLevel="0" collapsed="false">
      <c r="A21" s="3" t="s">
        <v>32</v>
      </c>
      <c r="B21" s="10"/>
      <c r="C21" s="11" t="str">
        <f aca="false">IF($B$4="时尚套装","不适用",IF($B$4="针织衫","必填","请选择类目"))</f>
        <v>必填</v>
      </c>
      <c r="D21" s="6" t="s">
        <v>33</v>
      </c>
    </row>
    <row r="22" customFormat="false" ht="33.75" hidden="false" customHeight="true" outlineLevel="0" collapsed="false">
      <c r="A22" s="3" t="s">
        <v>34</v>
      </c>
      <c r="B22" s="10"/>
      <c r="C22" s="11" t="str">
        <f aca="false">IF($B$4="时尚套装","选填",IF($B$4="针织衫","选填","请选择类目"))</f>
        <v>选填</v>
      </c>
      <c r="D22" s="6" t="s">
        <v>35</v>
      </c>
    </row>
    <row r="23" customFormat="false" ht="33.75" hidden="false" customHeight="true" outlineLevel="0" collapsed="false">
      <c r="A23" s="3" t="s">
        <v>36</v>
      </c>
      <c r="B23" s="10"/>
      <c r="C23" s="11" t="str">
        <f aca="false">IF($B$4="时尚套装","选填",IF($B$4="针织衫","选填","请选择类目"))</f>
        <v>选填</v>
      </c>
      <c r="D23" s="6" t="s">
        <v>37</v>
      </c>
    </row>
    <row r="24" customFormat="false" ht="33.75" hidden="false" customHeight="true" outlineLevel="0" collapsed="false">
      <c r="A24" s="3" t="s">
        <v>38</v>
      </c>
      <c r="B24" s="10"/>
      <c r="C24" s="11" t="str">
        <f aca="false">IF($B$4="时尚套装","选填",IF($B$4="针织衫","选填","请选择类目"))</f>
        <v>选填</v>
      </c>
      <c r="D24" s="6" t="s">
        <v>39</v>
      </c>
    </row>
    <row r="25" customFormat="false" ht="33.75" hidden="false" customHeight="true" outlineLevel="0" collapsed="false">
      <c r="A25" s="3" t="s">
        <v>40</v>
      </c>
      <c r="B25" s="10"/>
      <c r="C25" s="11" t="str">
        <f aca="false">IF($B$4="时尚套装","选填",IF($B$4="针织衫","选填","请选择类目"))</f>
        <v>选填</v>
      </c>
      <c r="D25" s="6" t="s">
        <v>41</v>
      </c>
    </row>
    <row r="26" customFormat="false" ht="33.75" hidden="false" customHeight="true" outlineLevel="0" collapsed="false">
      <c r="A26" s="3" t="s">
        <v>42</v>
      </c>
      <c r="B26" s="10"/>
      <c r="C26" s="11" t="str">
        <f aca="false">IF($B$4="时尚套装","选填",IF($B$4="针织衫","选填","请选择类目"))</f>
        <v>选填</v>
      </c>
      <c r="D26" s="6" t="s">
        <v>43</v>
      </c>
    </row>
    <row r="27" customFormat="false" ht="33.75" hidden="false" customHeight="true" outlineLevel="0" collapsed="false">
      <c r="A27" s="3" t="s">
        <v>44</v>
      </c>
      <c r="B27" s="10"/>
      <c r="C27" s="11" t="str">
        <f aca="false">IF($B$4="时尚套装","选填",IF($B$4="针织衫","选填","请选择类目"))</f>
        <v>选填</v>
      </c>
      <c r="D27" s="6" t="s">
        <v>45</v>
      </c>
    </row>
    <row r="28" customFormat="false" ht="33.75" hidden="false" customHeight="true" outlineLevel="0" collapsed="false">
      <c r="A28" s="3" t="s">
        <v>46</v>
      </c>
      <c r="B28" s="10"/>
      <c r="C28" s="11" t="str">
        <f aca="false">IF($B$4="时尚套装","选填",IF($B$4="针织衫","选填","请选择类目"))</f>
        <v>选填</v>
      </c>
      <c r="D28" s="6" t="s">
        <v>47</v>
      </c>
    </row>
    <row r="29" customFormat="false" ht="33.75" hidden="false" customHeight="true" outlineLevel="0" collapsed="false">
      <c r="A29" s="3" t="s">
        <v>48</v>
      </c>
      <c r="B29" s="10"/>
      <c r="C29" s="11" t="str">
        <f aca="false">IF($B$4="时尚套装","选填",IF($B$4="针织衫","选填","请选择类目"))</f>
        <v>选填</v>
      </c>
      <c r="D29" s="6" t="s">
        <v>49</v>
      </c>
    </row>
    <row r="30" customFormat="false" ht="33.75" hidden="false" customHeight="true" outlineLevel="0" collapsed="false">
      <c r="A30" s="3" t="s">
        <v>50</v>
      </c>
      <c r="B30" s="10"/>
      <c r="C30" s="11" t="str">
        <f aca="false">IF($B$4="时尚套装","选填",IF($B$4="针织衫","选填","请选择类目"))</f>
        <v>选填</v>
      </c>
      <c r="D30" s="6" t="s">
        <v>51</v>
      </c>
    </row>
    <row r="31" customFormat="false" ht="28.5" hidden="false" customHeight="true" outlineLevel="0" collapsed="false">
      <c r="A31" s="9" t="s">
        <v>52</v>
      </c>
      <c r="B31" s="9"/>
      <c r="C31" s="9"/>
      <c r="D31" s="9"/>
    </row>
    <row r="32" customFormat="false" ht="33.75" hidden="false" customHeight="true" outlineLevel="0" collapsed="false">
      <c r="A32" s="3" t="s">
        <v>53</v>
      </c>
      <c r="B32" s="10"/>
      <c r="C32" s="11" t="str">
        <f aca="false">IF($B$4="时尚套装","选填",IF($B$4="针织衫","不适用","请选择类目"))</f>
        <v>不适用</v>
      </c>
      <c r="D32" s="6" t="s">
        <v>54</v>
      </c>
    </row>
    <row r="33" customFormat="false" ht="33.75" hidden="false" customHeight="true" outlineLevel="0" collapsed="false">
      <c r="A33" s="3" t="s">
        <v>55</v>
      </c>
      <c r="B33" s="10"/>
      <c r="C33" s="11" t="str">
        <f aca="false">IF($B$4="时尚套装","选填",IF($B$4="针织衫","不适用","请选择类目"))</f>
        <v>不适用</v>
      </c>
      <c r="D33" s="6" t="s">
        <v>56</v>
      </c>
    </row>
    <row r="34" customFormat="false" ht="33.75" hidden="false" customHeight="true" outlineLevel="0" collapsed="false">
      <c r="A34" s="3" t="s">
        <v>57</v>
      </c>
      <c r="B34" s="10"/>
      <c r="C34" s="11" t="str">
        <f aca="false">IF($B$4="时尚套装","选填",IF($B$4="针织衫","不适用","请选择类目"))</f>
        <v>不适用</v>
      </c>
      <c r="D34" s="6" t="s">
        <v>58</v>
      </c>
    </row>
    <row r="35" customFormat="false" ht="33.75" hidden="false" customHeight="true" outlineLevel="0" collapsed="false">
      <c r="A35" s="3" t="s">
        <v>59</v>
      </c>
      <c r="B35" s="10"/>
      <c r="C35" s="11" t="str">
        <f aca="false">IF($B$4="时尚套装","选填",IF($B$4="针织衫","不适用","请选择类目"))</f>
        <v>不适用</v>
      </c>
      <c r="D35" s="6" t="s">
        <v>60</v>
      </c>
    </row>
    <row r="36" customFormat="false" ht="33.75" hidden="false" customHeight="true" outlineLevel="0" collapsed="false">
      <c r="A36" s="3" t="s">
        <v>61</v>
      </c>
      <c r="B36" s="10"/>
      <c r="C36" s="11" t="str">
        <f aca="false">IF($B$4="时尚套装","选填",IF($B$4="针织衫","不适用","请选择类目"))</f>
        <v>不适用</v>
      </c>
      <c r="D36" s="6" t="s">
        <v>60</v>
      </c>
    </row>
    <row r="37" customFormat="false" ht="28.5" hidden="false" customHeight="true" outlineLevel="0" collapsed="false">
      <c r="A37" s="9" t="s">
        <v>62</v>
      </c>
      <c r="B37" s="9"/>
      <c r="C37" s="9"/>
      <c r="D37" s="9"/>
    </row>
    <row r="38" customFormat="false" ht="33.75" hidden="false" customHeight="true" outlineLevel="0" collapsed="false">
      <c r="A38" s="3" t="s">
        <v>63</v>
      </c>
      <c r="B38" s="10"/>
      <c r="C38" s="11" t="str">
        <f aca="false">IF($B$4="时尚套装","不适用",IF($B$4="针织衫","选填","请选择类目"))</f>
        <v>选填</v>
      </c>
      <c r="D38" s="6" t="s">
        <v>64</v>
      </c>
    </row>
    <row r="39" customFormat="false" ht="33.75" hidden="false" customHeight="true" outlineLevel="0" collapsed="false">
      <c r="A39" s="3" t="s">
        <v>65</v>
      </c>
      <c r="B39" s="10"/>
      <c r="C39" s="11" t="str">
        <f aca="false">IF($B$4="时尚套装","不适用",IF($B$4="针织衫","选填","请选择类目"))</f>
        <v>选填</v>
      </c>
      <c r="D39" s="6" t="s">
        <v>66</v>
      </c>
    </row>
    <row r="40" customFormat="false" ht="33.75" hidden="false" customHeight="true" outlineLevel="0" collapsed="false">
      <c r="A40" s="3" t="s">
        <v>67</v>
      </c>
      <c r="B40" s="10"/>
      <c r="C40" s="11" t="str">
        <f aca="false">IF($B$4="时尚套装","不适用",IF($B$4="针织衫","选填","请选择类目"))</f>
        <v>选填</v>
      </c>
      <c r="D40" s="6" t="s">
        <v>68</v>
      </c>
    </row>
    <row r="41" customFormat="false" ht="33.75" hidden="false" customHeight="true" outlineLevel="0" collapsed="false">
      <c r="A41" s="3" t="s">
        <v>69</v>
      </c>
      <c r="B41" s="10"/>
      <c r="C41" s="11" t="str">
        <f aca="false">IF($B$4="时尚套装","不适用",IF($B$4="针织衫","选填","请选择类目"))</f>
        <v>选填</v>
      </c>
      <c r="D41" s="6" t="s">
        <v>70</v>
      </c>
    </row>
    <row r="43" customFormat="false" ht="31.5" hidden="false" customHeight="true" outlineLevel="0" collapsed="false">
      <c r="A43" s="2" t="s">
        <v>71</v>
      </c>
      <c r="B43" s="2"/>
      <c r="C43" s="2"/>
      <c r="D43" s="2"/>
    </row>
  </sheetData>
  <mergeCells count="10">
    <mergeCell ref="A1:D1"/>
    <mergeCell ref="A2:D2"/>
    <mergeCell ref="B5:D5"/>
    <mergeCell ref="A6:D6"/>
    <mergeCell ref="A7:D7"/>
    <mergeCell ref="A10:D10"/>
    <mergeCell ref="A16:D16"/>
    <mergeCell ref="A31:D31"/>
    <mergeCell ref="A37:D37"/>
    <mergeCell ref="A43:D43"/>
  </mergeCells>
  <conditionalFormatting sqref="A11:D11">
    <cfRule type="expression" priority="2" aboveAverage="0" equalAverage="0" bottom="0" percent="0" rank="0" text="" dxfId="0">
      <formula>$C11="不适用"</formula>
    </cfRule>
  </conditionalFormatting>
  <conditionalFormatting sqref="B11">
    <cfRule type="expression" priority="3" aboveAverage="0" equalAverage="0" bottom="0" percent="0" rank="0" text="" dxfId="1">
      <formula>AND($C11="必填",LEN(TRIM($B11&amp;""))=0)</formula>
    </cfRule>
  </conditionalFormatting>
  <conditionalFormatting sqref="C11">
    <cfRule type="expression" priority="4" aboveAverage="0" equalAverage="0" bottom="0" percent="0" rank="0" text="" dxfId="2">
      <formula>$C11="必填"</formula>
    </cfRule>
  </conditionalFormatting>
  <conditionalFormatting sqref="A12:D12">
    <cfRule type="expression" priority="5" aboveAverage="0" equalAverage="0" bottom="0" percent="0" rank="0" text="" dxfId="3">
      <formula>$C12="不适用"</formula>
    </cfRule>
  </conditionalFormatting>
  <conditionalFormatting sqref="B12">
    <cfRule type="expression" priority="6" aboveAverage="0" equalAverage="0" bottom="0" percent="0" rank="0" text="" dxfId="4">
      <formula>AND($C12="必填",LEN(TRIM($B12&amp;""))=0)</formula>
    </cfRule>
  </conditionalFormatting>
  <conditionalFormatting sqref="C12">
    <cfRule type="expression" priority="7" aboveAverage="0" equalAverage="0" bottom="0" percent="0" rank="0" text="" dxfId="5">
      <formula>$C12="必填"</formula>
    </cfRule>
  </conditionalFormatting>
  <conditionalFormatting sqref="A13:D13">
    <cfRule type="expression" priority="8" aboveAverage="0" equalAverage="0" bottom="0" percent="0" rank="0" text="" dxfId="6">
      <formula>$C13="不适用"</formula>
    </cfRule>
  </conditionalFormatting>
  <conditionalFormatting sqref="B13">
    <cfRule type="expression" priority="9" aboveAverage="0" equalAverage="0" bottom="0" percent="0" rank="0" text="" dxfId="7">
      <formula>AND($C13="必填",LEN(TRIM($B13&amp;""))=0)</formula>
    </cfRule>
  </conditionalFormatting>
  <conditionalFormatting sqref="C13">
    <cfRule type="expression" priority="10" aboveAverage="0" equalAverage="0" bottom="0" percent="0" rank="0" text="" dxfId="8">
      <formula>$C13="必填"</formula>
    </cfRule>
  </conditionalFormatting>
  <conditionalFormatting sqref="A14:D14">
    <cfRule type="expression" priority="11" aboveAverage="0" equalAverage="0" bottom="0" percent="0" rank="0" text="" dxfId="9">
      <formula>$C14="不适用"</formula>
    </cfRule>
  </conditionalFormatting>
  <conditionalFormatting sqref="B14">
    <cfRule type="expression" priority="12" aboveAverage="0" equalAverage="0" bottom="0" percent="0" rank="0" text="" dxfId="10">
      <formula>AND($C14="必填",LEN(TRIM($B14&amp;""))=0)</formula>
    </cfRule>
  </conditionalFormatting>
  <conditionalFormatting sqref="C14">
    <cfRule type="expression" priority="13" aboveAverage="0" equalAverage="0" bottom="0" percent="0" rank="0" text="" dxfId="11">
      <formula>$C14="必填"</formula>
    </cfRule>
  </conditionalFormatting>
  <conditionalFormatting sqref="A15:D15">
    <cfRule type="expression" priority="14" aboveAverage="0" equalAverage="0" bottom="0" percent="0" rank="0" text="" dxfId="12">
      <formula>$C15="不适用"</formula>
    </cfRule>
  </conditionalFormatting>
  <conditionalFormatting sqref="B15">
    <cfRule type="expression" priority="15" aboveAverage="0" equalAverage="0" bottom="0" percent="0" rank="0" text="" dxfId="13">
      <formula>AND($C15="必填",LEN(TRIM($B15&amp;""))=0)</formula>
    </cfRule>
  </conditionalFormatting>
  <conditionalFormatting sqref="C15">
    <cfRule type="expression" priority="16" aboveAverage="0" equalAverage="0" bottom="0" percent="0" rank="0" text="" dxfId="14">
      <formula>$C15="必填"</formula>
    </cfRule>
  </conditionalFormatting>
  <conditionalFormatting sqref="A17:D17">
    <cfRule type="expression" priority="17" aboveAverage="0" equalAverage="0" bottom="0" percent="0" rank="0" text="" dxfId="15">
      <formula>$C17="不适用"</formula>
    </cfRule>
  </conditionalFormatting>
  <conditionalFormatting sqref="B17">
    <cfRule type="expression" priority="18" aboveAverage="0" equalAverage="0" bottom="0" percent="0" rank="0" text="" dxfId="16">
      <formula>AND($C17="必填",LEN(TRIM($B17&amp;""))=0)</formula>
    </cfRule>
  </conditionalFormatting>
  <conditionalFormatting sqref="C17">
    <cfRule type="expression" priority="19" aboveAverage="0" equalAverage="0" bottom="0" percent="0" rank="0" text="" dxfId="17">
      <formula>$C17="必填"</formula>
    </cfRule>
  </conditionalFormatting>
  <conditionalFormatting sqref="A18:D18">
    <cfRule type="expression" priority="20" aboveAverage="0" equalAverage="0" bottom="0" percent="0" rank="0" text="" dxfId="18">
      <formula>$C18="不适用"</formula>
    </cfRule>
  </conditionalFormatting>
  <conditionalFormatting sqref="B18">
    <cfRule type="expression" priority="21" aboveAverage="0" equalAverage="0" bottom="0" percent="0" rank="0" text="" dxfId="19">
      <formula>AND($C18="必填",LEN(TRIM($B18&amp;""))=0)</formula>
    </cfRule>
    <cfRule type="expression" priority="22" aboveAverage="0" equalAverage="0" bottom="0" percent="0" rank="0" text="" dxfId="20">
      <formula>AND($B$4="时尚套装",LEN(TRIM($B$18&amp;""))=0,LEN(TRIM($B$19&amp;""))=0)</formula>
    </cfRule>
  </conditionalFormatting>
  <conditionalFormatting sqref="C18">
    <cfRule type="expression" priority="23" aboveAverage="0" equalAverage="0" bottom="0" percent="0" rank="0" text="" dxfId="21">
      <formula>$C18="必填"</formula>
    </cfRule>
  </conditionalFormatting>
  <conditionalFormatting sqref="A19:D19">
    <cfRule type="expression" priority="24" aboveAverage="0" equalAverage="0" bottom="0" percent="0" rank="0" text="" dxfId="22">
      <formula>$C19="不适用"</formula>
    </cfRule>
  </conditionalFormatting>
  <conditionalFormatting sqref="B19">
    <cfRule type="expression" priority="25" aboveAverage="0" equalAverage="0" bottom="0" percent="0" rank="0" text="" dxfId="23">
      <formula>AND($C19="必填",LEN(TRIM($B19&amp;""))=0)</formula>
    </cfRule>
    <cfRule type="expression" priority="26" aboveAverage="0" equalAverage="0" bottom="0" percent="0" rank="0" text="" dxfId="24">
      <formula>AND($B$4="时尚套装",LEN(TRIM($B$18&amp;""))=0,LEN(TRIM($B$19&amp;""))=0)</formula>
    </cfRule>
  </conditionalFormatting>
  <conditionalFormatting sqref="C19">
    <cfRule type="expression" priority="27" aboveAverage="0" equalAverage="0" bottom="0" percent="0" rank="0" text="" dxfId="25">
      <formula>$C19="必填"</formula>
    </cfRule>
  </conditionalFormatting>
  <conditionalFormatting sqref="A20:D20">
    <cfRule type="expression" priority="28" aboveAverage="0" equalAverage="0" bottom="0" percent="0" rank="0" text="" dxfId="26">
      <formula>$C20="不适用"</formula>
    </cfRule>
  </conditionalFormatting>
  <conditionalFormatting sqref="B20">
    <cfRule type="expression" priority="29" aboveAverage="0" equalAverage="0" bottom="0" percent="0" rank="0" text="" dxfId="27">
      <formula>AND($C20="必填",LEN(TRIM($B20&amp;""))=0)</formula>
    </cfRule>
  </conditionalFormatting>
  <conditionalFormatting sqref="C20">
    <cfRule type="expression" priority="30" aboveAverage="0" equalAverage="0" bottom="0" percent="0" rank="0" text="" dxfId="28">
      <formula>$C20="必填"</formula>
    </cfRule>
  </conditionalFormatting>
  <conditionalFormatting sqref="A21:D21">
    <cfRule type="expression" priority="31" aboveAverage="0" equalAverage="0" bottom="0" percent="0" rank="0" text="" dxfId="29">
      <formula>$C21="不适用"</formula>
    </cfRule>
  </conditionalFormatting>
  <conditionalFormatting sqref="B21">
    <cfRule type="expression" priority="32" aboveAverage="0" equalAverage="0" bottom="0" percent="0" rank="0" text="" dxfId="30">
      <formula>AND($C21="必填",LEN(TRIM($B21&amp;""))=0)</formula>
    </cfRule>
  </conditionalFormatting>
  <conditionalFormatting sqref="C21">
    <cfRule type="expression" priority="33" aboveAverage="0" equalAverage="0" bottom="0" percent="0" rank="0" text="" dxfId="31">
      <formula>$C21="必填"</formula>
    </cfRule>
  </conditionalFormatting>
  <conditionalFormatting sqref="A22:D22">
    <cfRule type="expression" priority="34" aboveAverage="0" equalAverage="0" bottom="0" percent="0" rank="0" text="" dxfId="32">
      <formula>$C22="不适用"</formula>
    </cfRule>
  </conditionalFormatting>
  <conditionalFormatting sqref="B22">
    <cfRule type="expression" priority="35" aboveAverage="0" equalAverage="0" bottom="0" percent="0" rank="0" text="" dxfId="33">
      <formula>AND($C22="必填",LEN(TRIM($B22&amp;""))=0)</formula>
    </cfRule>
  </conditionalFormatting>
  <conditionalFormatting sqref="C22">
    <cfRule type="expression" priority="36" aboveAverage="0" equalAverage="0" bottom="0" percent="0" rank="0" text="" dxfId="34">
      <formula>$C22="必填"</formula>
    </cfRule>
  </conditionalFormatting>
  <conditionalFormatting sqref="A23:D23">
    <cfRule type="expression" priority="37" aboveAverage="0" equalAverage="0" bottom="0" percent="0" rank="0" text="" dxfId="35">
      <formula>$C23="不适用"</formula>
    </cfRule>
  </conditionalFormatting>
  <conditionalFormatting sqref="B23">
    <cfRule type="expression" priority="38" aboveAverage="0" equalAverage="0" bottom="0" percent="0" rank="0" text="" dxfId="36">
      <formula>AND($C23="必填",LEN(TRIM($B23&amp;""))=0)</formula>
    </cfRule>
  </conditionalFormatting>
  <conditionalFormatting sqref="C23">
    <cfRule type="expression" priority="39" aboveAverage="0" equalAverage="0" bottom="0" percent="0" rank="0" text="" dxfId="37">
      <formula>$C23="必填"</formula>
    </cfRule>
  </conditionalFormatting>
  <conditionalFormatting sqref="A24:D24">
    <cfRule type="expression" priority="40" aboveAverage="0" equalAverage="0" bottom="0" percent="0" rank="0" text="" dxfId="38">
      <formula>$C24="不适用"</formula>
    </cfRule>
  </conditionalFormatting>
  <conditionalFormatting sqref="B24">
    <cfRule type="expression" priority="41" aboveAverage="0" equalAverage="0" bottom="0" percent="0" rank="0" text="" dxfId="39">
      <formula>AND($C24="必填",LEN(TRIM($B24&amp;""))=0)</formula>
    </cfRule>
  </conditionalFormatting>
  <conditionalFormatting sqref="C24">
    <cfRule type="expression" priority="42" aboveAverage="0" equalAverage="0" bottom="0" percent="0" rank="0" text="" dxfId="40">
      <formula>$C24="必填"</formula>
    </cfRule>
  </conditionalFormatting>
  <conditionalFormatting sqref="A25:D25">
    <cfRule type="expression" priority="43" aboveAverage="0" equalAverage="0" bottom="0" percent="0" rank="0" text="" dxfId="41">
      <formula>$C25="不适用"</formula>
    </cfRule>
  </conditionalFormatting>
  <conditionalFormatting sqref="B25">
    <cfRule type="expression" priority="44" aboveAverage="0" equalAverage="0" bottom="0" percent="0" rank="0" text="" dxfId="42">
      <formula>AND($C25="必填",LEN(TRIM($B25&amp;""))=0)</formula>
    </cfRule>
  </conditionalFormatting>
  <conditionalFormatting sqref="C25">
    <cfRule type="expression" priority="45" aboveAverage="0" equalAverage="0" bottom="0" percent="0" rank="0" text="" dxfId="43">
      <formula>$C25="必填"</formula>
    </cfRule>
  </conditionalFormatting>
  <conditionalFormatting sqref="A26:D26">
    <cfRule type="expression" priority="46" aboveAverage="0" equalAverage="0" bottom="0" percent="0" rank="0" text="" dxfId="44">
      <formula>$C26="不适用"</formula>
    </cfRule>
  </conditionalFormatting>
  <conditionalFormatting sqref="B26">
    <cfRule type="expression" priority="47" aboveAverage="0" equalAverage="0" bottom="0" percent="0" rank="0" text="" dxfId="45">
      <formula>AND($C26="必填",LEN(TRIM($B26&amp;""))=0)</formula>
    </cfRule>
  </conditionalFormatting>
  <conditionalFormatting sqref="C26">
    <cfRule type="expression" priority="48" aboveAverage="0" equalAverage="0" bottom="0" percent="0" rank="0" text="" dxfId="46">
      <formula>$C26="必填"</formula>
    </cfRule>
  </conditionalFormatting>
  <conditionalFormatting sqref="A27:D27">
    <cfRule type="expression" priority="49" aboveAverage="0" equalAverage="0" bottom="0" percent="0" rank="0" text="" dxfId="47">
      <formula>$C27="不适用"</formula>
    </cfRule>
  </conditionalFormatting>
  <conditionalFormatting sqref="B27">
    <cfRule type="expression" priority="50" aboveAverage="0" equalAverage="0" bottom="0" percent="0" rank="0" text="" dxfId="48">
      <formula>AND($C27="必填",LEN(TRIM($B27&amp;""))=0)</formula>
    </cfRule>
  </conditionalFormatting>
  <conditionalFormatting sqref="C27">
    <cfRule type="expression" priority="51" aboveAverage="0" equalAverage="0" bottom="0" percent="0" rank="0" text="" dxfId="49">
      <formula>$C27="必填"</formula>
    </cfRule>
  </conditionalFormatting>
  <conditionalFormatting sqref="A28:D28">
    <cfRule type="expression" priority="52" aboveAverage="0" equalAverage="0" bottom="0" percent="0" rank="0" text="" dxfId="50">
      <formula>$C28="不适用"</formula>
    </cfRule>
  </conditionalFormatting>
  <conditionalFormatting sqref="B28">
    <cfRule type="expression" priority="53" aboveAverage="0" equalAverage="0" bottom="0" percent="0" rank="0" text="" dxfId="51">
      <formula>AND($C28="必填",LEN(TRIM($B28&amp;""))=0)</formula>
    </cfRule>
  </conditionalFormatting>
  <conditionalFormatting sqref="C28">
    <cfRule type="expression" priority="54" aboveAverage="0" equalAverage="0" bottom="0" percent="0" rank="0" text="" dxfId="52">
      <formula>$C28="必填"</formula>
    </cfRule>
  </conditionalFormatting>
  <conditionalFormatting sqref="A29:D29">
    <cfRule type="expression" priority="55" aboveAverage="0" equalAverage="0" bottom="0" percent="0" rank="0" text="" dxfId="53">
      <formula>$C29="不适用"</formula>
    </cfRule>
  </conditionalFormatting>
  <conditionalFormatting sqref="B29">
    <cfRule type="expression" priority="56" aboveAverage="0" equalAverage="0" bottom="0" percent="0" rank="0" text="" dxfId="54">
      <formula>AND($C29="必填",LEN(TRIM($B29&amp;""))=0)</formula>
    </cfRule>
  </conditionalFormatting>
  <conditionalFormatting sqref="C29">
    <cfRule type="expression" priority="57" aboveAverage="0" equalAverage="0" bottom="0" percent="0" rank="0" text="" dxfId="55">
      <formula>$C29="必填"</formula>
    </cfRule>
  </conditionalFormatting>
  <conditionalFormatting sqref="A30:D30">
    <cfRule type="expression" priority="58" aboveAverage="0" equalAverage="0" bottom="0" percent="0" rank="0" text="" dxfId="56">
      <formula>$C30="不适用"</formula>
    </cfRule>
  </conditionalFormatting>
  <conditionalFormatting sqref="B30">
    <cfRule type="expression" priority="59" aboveAverage="0" equalAverage="0" bottom="0" percent="0" rank="0" text="" dxfId="57">
      <formula>AND($C30="必填",LEN(TRIM($B30&amp;""))=0)</formula>
    </cfRule>
  </conditionalFormatting>
  <conditionalFormatting sqref="C30">
    <cfRule type="expression" priority="60" aboveAverage="0" equalAverage="0" bottom="0" percent="0" rank="0" text="" dxfId="58">
      <formula>$C30="必填"</formula>
    </cfRule>
  </conditionalFormatting>
  <conditionalFormatting sqref="A32:D32">
    <cfRule type="expression" priority="61" aboveAverage="0" equalAverage="0" bottom="0" percent="0" rank="0" text="" dxfId="59">
      <formula>$C32="不适用"</formula>
    </cfRule>
  </conditionalFormatting>
  <conditionalFormatting sqref="B32">
    <cfRule type="expression" priority="62" aboveAverage="0" equalAverage="0" bottom="0" percent="0" rank="0" text="" dxfId="60">
      <formula>AND($C32="必填",LEN(TRIM($B32&amp;""))=0)</formula>
    </cfRule>
  </conditionalFormatting>
  <conditionalFormatting sqref="C32">
    <cfRule type="expression" priority="63" aboveAverage="0" equalAverage="0" bottom="0" percent="0" rank="0" text="" dxfId="61">
      <formula>$C32="必填"</formula>
    </cfRule>
  </conditionalFormatting>
  <conditionalFormatting sqref="A33:D33">
    <cfRule type="expression" priority="64" aboveAverage="0" equalAverage="0" bottom="0" percent="0" rank="0" text="" dxfId="62">
      <formula>$C33="不适用"</formula>
    </cfRule>
  </conditionalFormatting>
  <conditionalFormatting sqref="B33">
    <cfRule type="expression" priority="65" aboveAverage="0" equalAverage="0" bottom="0" percent="0" rank="0" text="" dxfId="63">
      <formula>AND($C33="必填",LEN(TRIM($B33&amp;""))=0)</formula>
    </cfRule>
  </conditionalFormatting>
  <conditionalFormatting sqref="C33">
    <cfRule type="expression" priority="66" aboveAverage="0" equalAverage="0" bottom="0" percent="0" rank="0" text="" dxfId="64">
      <formula>$C33="必填"</formula>
    </cfRule>
  </conditionalFormatting>
  <conditionalFormatting sqref="A34:D34">
    <cfRule type="expression" priority="67" aboveAverage="0" equalAverage="0" bottom="0" percent="0" rank="0" text="" dxfId="65">
      <formula>$C34="不适用"</formula>
    </cfRule>
  </conditionalFormatting>
  <conditionalFormatting sqref="B34">
    <cfRule type="expression" priority="68" aboveAverage="0" equalAverage="0" bottom="0" percent="0" rank="0" text="" dxfId="66">
      <formula>AND($C34="必填",LEN(TRIM($B34&amp;""))=0)</formula>
    </cfRule>
  </conditionalFormatting>
  <conditionalFormatting sqref="C34">
    <cfRule type="expression" priority="69" aboveAverage="0" equalAverage="0" bottom="0" percent="0" rank="0" text="" dxfId="67">
      <formula>$C34="必填"</formula>
    </cfRule>
  </conditionalFormatting>
  <conditionalFormatting sqref="A35:D35">
    <cfRule type="expression" priority="70" aboveAverage="0" equalAverage="0" bottom="0" percent="0" rank="0" text="" dxfId="68">
      <formula>$C35="不适用"</formula>
    </cfRule>
  </conditionalFormatting>
  <conditionalFormatting sqref="B35">
    <cfRule type="expression" priority="71" aboveAverage="0" equalAverage="0" bottom="0" percent="0" rank="0" text="" dxfId="69">
      <formula>AND($C35="必填",LEN(TRIM($B35&amp;""))=0)</formula>
    </cfRule>
  </conditionalFormatting>
  <conditionalFormatting sqref="C35">
    <cfRule type="expression" priority="72" aboveAverage="0" equalAverage="0" bottom="0" percent="0" rank="0" text="" dxfId="70">
      <formula>$C35="必填"</formula>
    </cfRule>
  </conditionalFormatting>
  <conditionalFormatting sqref="A36:D36">
    <cfRule type="expression" priority="73" aboveAverage="0" equalAverage="0" bottom="0" percent="0" rank="0" text="" dxfId="71">
      <formula>$C36="不适用"</formula>
    </cfRule>
  </conditionalFormatting>
  <conditionalFormatting sqref="B36">
    <cfRule type="expression" priority="74" aboveAverage="0" equalAverage="0" bottom="0" percent="0" rank="0" text="" dxfId="72">
      <formula>AND($C36="必填",LEN(TRIM($B36&amp;""))=0)</formula>
    </cfRule>
  </conditionalFormatting>
  <conditionalFormatting sqref="C36">
    <cfRule type="expression" priority="75" aboveAverage="0" equalAverage="0" bottom="0" percent="0" rank="0" text="" dxfId="73">
      <formula>$C36="必填"</formula>
    </cfRule>
  </conditionalFormatting>
  <conditionalFormatting sqref="A38:D38">
    <cfRule type="expression" priority="76" aboveAverage="0" equalAverage="0" bottom="0" percent="0" rank="0" text="" dxfId="74">
      <formula>$C38="不适用"</formula>
    </cfRule>
  </conditionalFormatting>
  <conditionalFormatting sqref="B38">
    <cfRule type="expression" priority="77" aboveAverage="0" equalAverage="0" bottom="0" percent="0" rank="0" text="" dxfId="75">
      <formula>AND($C38="必填",LEN(TRIM($B38&amp;""))=0)</formula>
    </cfRule>
  </conditionalFormatting>
  <conditionalFormatting sqref="C38">
    <cfRule type="expression" priority="78" aboveAverage="0" equalAverage="0" bottom="0" percent="0" rank="0" text="" dxfId="76">
      <formula>$C38="必填"</formula>
    </cfRule>
  </conditionalFormatting>
  <conditionalFormatting sqref="A39:D39">
    <cfRule type="expression" priority="79" aboveAverage="0" equalAverage="0" bottom="0" percent="0" rank="0" text="" dxfId="77">
      <formula>$C39="不适用"</formula>
    </cfRule>
  </conditionalFormatting>
  <conditionalFormatting sqref="B39">
    <cfRule type="expression" priority="80" aboveAverage="0" equalAverage="0" bottom="0" percent="0" rank="0" text="" dxfId="78">
      <formula>AND($C39="必填",LEN(TRIM($B39&amp;""))=0)</formula>
    </cfRule>
  </conditionalFormatting>
  <conditionalFormatting sqref="C39">
    <cfRule type="expression" priority="81" aboveAverage="0" equalAverage="0" bottom="0" percent="0" rank="0" text="" dxfId="79">
      <formula>$C39="必填"</formula>
    </cfRule>
  </conditionalFormatting>
  <conditionalFormatting sqref="A40:D40">
    <cfRule type="expression" priority="82" aboveAverage="0" equalAverage="0" bottom="0" percent="0" rank="0" text="" dxfId="80">
      <formula>$C40="不适用"</formula>
    </cfRule>
  </conditionalFormatting>
  <conditionalFormatting sqref="B40">
    <cfRule type="expression" priority="83" aboveAverage="0" equalAverage="0" bottom="0" percent="0" rank="0" text="" dxfId="81">
      <formula>AND($C40="必填",LEN(TRIM($B40&amp;""))=0)</formula>
    </cfRule>
  </conditionalFormatting>
  <conditionalFormatting sqref="C40">
    <cfRule type="expression" priority="84" aboveAverage="0" equalAverage="0" bottom="0" percent="0" rank="0" text="" dxfId="82">
      <formula>$C40="必填"</formula>
    </cfRule>
  </conditionalFormatting>
  <conditionalFormatting sqref="A41:D41">
    <cfRule type="expression" priority="85" aboveAverage="0" equalAverage="0" bottom="0" percent="0" rank="0" text="" dxfId="83">
      <formula>$C41="不适用"</formula>
    </cfRule>
  </conditionalFormatting>
  <conditionalFormatting sqref="B41">
    <cfRule type="expression" priority="86" aboveAverage="0" equalAverage="0" bottom="0" percent="0" rank="0" text="" dxfId="84">
      <formula>AND($C41="必填",LEN(TRIM($B41&amp;""))=0)</formula>
    </cfRule>
  </conditionalFormatting>
  <conditionalFormatting sqref="C41">
    <cfRule type="expression" priority="87" aboveAverage="0" equalAverage="0" bottom="0" percent="0" rank="0" text="" dxfId="85">
      <formula>$C41="必填"</formula>
    </cfRule>
  </conditionalFormatting>
  <dataValidations count="7">
    <dataValidation allowBlank="true" error="填写大于0、最多两位小数的金额。" errorStyle="stop" operator="between" showDropDown="false" showErrorMessage="true" showInputMessage="true" sqref="B13" type="custom">
      <formula1>OR(B13="",AND(ISNUMBER(B13),B13&gt;0,ROUND(B13,2)=B13))</formula1>
      <formula2>0</formula2>
    </dataValidation>
    <dataValidation allowBlank="true" error="当前规则为5.0～9.9折。" errorStyle="stop" operator="between" showDropDown="false" showErrorMessage="true" showInputMessage="true" sqref="B14" type="decimal">
      <formula1>5</formula1>
      <formula2>9.9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19:B20" type="custom">
      <formula1>$B$4="时尚套装"</formula1>
      <formula2>0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21" type="custom">
      <formula1>$B$4="针织衫"</formula1>
      <formula2>0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32:B36" type="custom">
      <formula1>$B$4="时尚套装"</formula1>
      <formula2>0</formula2>
    </dataValidation>
    <dataValidation allowBlank="true" error="请先切换商品类型；保留的旧值不会用于当前类目。" errorStyle="stop" errorTitle="当前类目不适用" operator="between" showDropDown="false" showErrorMessage="true" showInputMessage="false" sqref="B38:B41" type="custom">
      <formula1>$B$4="针织衫"</formula1>
      <formula2>0</formula2>
    </dataValidation>
    <dataValidation allowBlank="false" error="当前只支持时尚套装或针织衫。" errorStyle="stop" errorTitle="请选择商品类型" operator="between" showDropDown="false" showErrorMessage="true" showInputMessage="false" sqref="B4" type="list">
      <formula1>"时尚套装,针织衫"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3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&amp;L&amp;"Calibri"文青尚品 · 独立模板预览&amp;R&amp;"Calibri"第 &amp;P /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E8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10.27734375" defaultRowHeight="30" customHeight="true" zeroHeight="false" outlineLevelRow="0" outlineLevelCol="0"/>
  <cols>
    <col collapsed="false" customWidth="true" hidden="false" outlineLevel="0" max="1" min="1" style="0" width="24.53"/>
    <col collapsed="false" customWidth="true" hidden="false" outlineLevel="0" max="2" min="2" style="0" width="29.26"/>
    <col collapsed="false" customWidth="true" hidden="false" outlineLevel="0" max="4" min="3" style="0" width="23.34"/>
    <col collapsed="false" customWidth="true" hidden="false" outlineLevel="0" max="5" min="5" style="0" width="20.98"/>
    <col collapsed="false" customWidth="true" hidden="false" outlineLevel="0" max="6" min="6" style="0" width="22.15"/>
    <col collapsed="false" customWidth="true" hidden="false" outlineLevel="0" max="7" min="7" style="0" width="34.01"/>
    <col collapsed="false" customWidth="true" hidden="false" outlineLevel="0" max="8" min="8" style="0" width="16.24"/>
  </cols>
  <sheetData>
    <row r="1" customFormat="false" ht="42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7" t="str">
        <f aca="false">IF(基础信息!B4="针织衫","针织衫：填写单上衣等实际款式；尺码按当前中国码规则核对。","时尚套装：可按实际填写上衣、裤子、上衣+裤子等款式。")</f>
        <v>针织衫：填写单上衣等实际款式；尺码按当前中国码规则核对。</v>
      </c>
      <c r="B4" s="7"/>
      <c r="C4" s="7"/>
      <c r="D4" s="7"/>
      <c r="E4" s="7"/>
      <c r="F4" s="7"/>
      <c r="G4" s="7"/>
      <c r="H4" s="7"/>
    </row>
    <row r="5" customFormat="false" ht="30" hidden="false" customHeight="true" outlineLevel="0" collapsed="false">
      <c r="A5" s="2" t="s">
        <v>74</v>
      </c>
      <c r="B5" s="2"/>
      <c r="C5" s="2"/>
      <c r="D5" s="2"/>
      <c r="E5" s="2"/>
      <c r="F5" s="2"/>
      <c r="G5" s="2"/>
      <c r="H5" s="2"/>
    </row>
    <row r="7" customFormat="false" ht="37.5" hidden="false" customHeight="true" outlineLevel="0" collapsed="false">
      <c r="A7" s="8" t="s">
        <v>75</v>
      </c>
      <c r="B7" s="8" t="s">
        <v>76</v>
      </c>
      <c r="C7" s="8" t="s">
        <v>77</v>
      </c>
      <c r="D7" s="8" t="s">
        <v>78</v>
      </c>
      <c r="E7" s="8" t="s">
        <v>79</v>
      </c>
      <c r="F7" s="8" t="s">
        <v>80</v>
      </c>
      <c r="G7" s="8" t="s">
        <v>81</v>
      </c>
      <c r="H7" s="8" t="s">
        <v>82</v>
      </c>
    </row>
    <row r="8" customFormat="false" ht="30" hidden="false" customHeight="true" outlineLevel="0" collapsed="false">
      <c r="A8" s="10"/>
      <c r="B8" s="10"/>
      <c r="C8" s="13"/>
      <c r="D8" s="13"/>
      <c r="E8" s="10"/>
      <c r="F8" s="12"/>
      <c r="G8" s="12"/>
      <c r="H8" s="10"/>
    </row>
    <row r="9" customFormat="false" ht="30" hidden="false" customHeight="true" outlineLevel="0" collapsed="false">
      <c r="A9" s="10"/>
      <c r="B9" s="10"/>
      <c r="C9" s="13"/>
      <c r="D9" s="13"/>
      <c r="E9" s="10"/>
      <c r="F9" s="12"/>
      <c r="G9" s="12"/>
      <c r="H9" s="10"/>
    </row>
    <row r="10" customFormat="false" ht="30" hidden="false" customHeight="true" outlineLevel="0" collapsed="false">
      <c r="A10" s="10"/>
      <c r="B10" s="10"/>
      <c r="C10" s="13"/>
      <c r="D10" s="13"/>
      <c r="E10" s="10"/>
      <c r="F10" s="12"/>
      <c r="G10" s="12"/>
      <c r="H10" s="10"/>
    </row>
    <row r="11" customFormat="false" ht="30" hidden="false" customHeight="true" outlineLevel="0" collapsed="false">
      <c r="A11" s="10"/>
      <c r="B11" s="10"/>
      <c r="C11" s="13"/>
      <c r="D11" s="13"/>
      <c r="E11" s="10"/>
      <c r="F11" s="12"/>
      <c r="G11" s="12"/>
      <c r="H11" s="10"/>
    </row>
    <row r="12" customFormat="false" ht="30" hidden="false" customHeight="true" outlineLevel="0" collapsed="false">
      <c r="A12" s="10"/>
      <c r="B12" s="10"/>
      <c r="C12" s="13"/>
      <c r="D12" s="13"/>
      <c r="E12" s="10"/>
      <c r="F12" s="12"/>
      <c r="G12" s="12"/>
      <c r="H12" s="10"/>
    </row>
    <row r="13" customFormat="false" ht="30" hidden="false" customHeight="true" outlineLevel="0" collapsed="false">
      <c r="A13" s="10"/>
      <c r="B13" s="10"/>
      <c r="C13" s="13"/>
      <c r="D13" s="13"/>
      <c r="E13" s="10"/>
      <c r="F13" s="12"/>
      <c r="G13" s="12"/>
      <c r="H13" s="10"/>
    </row>
    <row r="14" customFormat="false" ht="30" hidden="false" customHeight="true" outlineLevel="0" collapsed="false">
      <c r="A14" s="10"/>
      <c r="B14" s="10"/>
      <c r="C14" s="13"/>
      <c r="D14" s="13"/>
      <c r="E14" s="10"/>
      <c r="F14" s="12"/>
      <c r="G14" s="12"/>
      <c r="H14" s="10"/>
    </row>
    <row r="15" customFormat="false" ht="30" hidden="false" customHeight="true" outlineLevel="0" collapsed="false">
      <c r="A15" s="10"/>
      <c r="B15" s="10"/>
      <c r="C15" s="13"/>
      <c r="D15" s="13"/>
      <c r="E15" s="10"/>
      <c r="F15" s="12"/>
      <c r="G15" s="12"/>
      <c r="H15" s="10"/>
    </row>
    <row r="16" customFormat="false" ht="30" hidden="false" customHeight="true" outlineLevel="0" collapsed="false">
      <c r="A16" s="10"/>
      <c r="B16" s="10"/>
      <c r="C16" s="13"/>
      <c r="D16" s="13"/>
      <c r="E16" s="10"/>
      <c r="F16" s="12"/>
      <c r="G16" s="12"/>
      <c r="H16" s="10"/>
    </row>
    <row r="17" customFormat="false" ht="30" hidden="false" customHeight="true" outlineLevel="0" collapsed="false">
      <c r="A17" s="10"/>
      <c r="B17" s="10"/>
      <c r="C17" s="13"/>
      <c r="D17" s="13"/>
      <c r="E17" s="10"/>
      <c r="F17" s="12"/>
      <c r="G17" s="12"/>
      <c r="H17" s="10"/>
    </row>
    <row r="19" customFormat="false" ht="30" hidden="false" customHeight="true" outlineLevel="0" collapsed="false">
      <c r="A19" s="2" t="s">
        <v>83</v>
      </c>
      <c r="B19" s="2"/>
      <c r="C19" s="2"/>
      <c r="D19" s="2"/>
      <c r="E19" s="2"/>
      <c r="F19" s="2"/>
      <c r="G19" s="2"/>
      <c r="H19" s="2"/>
    </row>
    <row r="20" customFormat="false" ht="30" hidden="false" customHeight="true" outlineLevel="0" collapsed="false">
      <c r="A20" s="2" t="s">
        <v>84</v>
      </c>
      <c r="B20" s="2"/>
      <c r="C20" s="2"/>
      <c r="D20" s="2"/>
      <c r="E20" s="2"/>
      <c r="F20" s="2"/>
      <c r="G20" s="2"/>
      <c r="H20" s="2"/>
    </row>
    <row r="22" customFormat="false" ht="30" hidden="false" customHeight="true" outlineLevel="0" collapsed="false">
      <c r="A22" s="14" t="s">
        <v>85</v>
      </c>
      <c r="B22" s="14"/>
      <c r="C22" s="14"/>
      <c r="D22" s="14"/>
      <c r="E22" s="14"/>
      <c r="F22" s="14"/>
      <c r="G22" s="14"/>
      <c r="H22" s="14"/>
    </row>
    <row r="23" customFormat="false" ht="30" hidden="false" customHeight="true" outlineLevel="0" collapsed="false">
      <c r="A23" s="8" t="s">
        <v>86</v>
      </c>
      <c r="B23" s="8" t="s">
        <v>87</v>
      </c>
      <c r="D23" s="8" t="s">
        <v>88</v>
      </c>
      <c r="E23" s="8"/>
      <c r="F23" s="8"/>
      <c r="G23" s="8"/>
      <c r="H23" s="8"/>
    </row>
    <row r="24" customFormat="false" ht="30" hidden="false" customHeight="true" outlineLevel="0" collapsed="false">
      <c r="A24" s="12"/>
      <c r="B24" s="12"/>
      <c r="D24" s="15" t="s">
        <v>89</v>
      </c>
      <c r="E24" s="15" t="s">
        <v>90</v>
      </c>
      <c r="F24" s="15"/>
      <c r="G24" s="15"/>
      <c r="H24" s="15"/>
    </row>
    <row r="25" customFormat="false" ht="30" hidden="false" customHeight="true" outlineLevel="0" collapsed="false">
      <c r="A25" s="12"/>
      <c r="B25" s="12"/>
      <c r="D25" s="16" t="s">
        <v>91</v>
      </c>
      <c r="E25" s="15" t="s">
        <v>92</v>
      </c>
      <c r="F25" s="15"/>
      <c r="G25" s="15"/>
      <c r="H25" s="15"/>
    </row>
    <row r="26" customFormat="false" ht="30" hidden="false" customHeight="true" outlineLevel="0" collapsed="false">
      <c r="A26" s="12"/>
      <c r="B26" s="12"/>
      <c r="D26" s="16" t="s">
        <v>93</v>
      </c>
      <c r="E26" s="15" t="s">
        <v>94</v>
      </c>
      <c r="F26" s="15"/>
      <c r="G26" s="15"/>
      <c r="H26" s="15"/>
    </row>
    <row r="27" customFormat="false" ht="30" hidden="false" customHeight="true" outlineLevel="0" collapsed="false">
      <c r="A27" s="12"/>
      <c r="B27" s="12"/>
      <c r="D27" s="16" t="s">
        <v>95</v>
      </c>
      <c r="E27" s="15" t="s">
        <v>96</v>
      </c>
      <c r="F27" s="15"/>
      <c r="G27" s="15"/>
      <c r="H27" s="15"/>
    </row>
    <row r="28" customFormat="false" ht="30" hidden="false" customHeight="true" outlineLevel="0" collapsed="false">
      <c r="A28" s="12"/>
      <c r="B28" s="12"/>
      <c r="D28" s="16" t="s">
        <v>97</v>
      </c>
      <c r="E28" s="15" t="s">
        <v>98</v>
      </c>
      <c r="F28" s="15"/>
      <c r="G28" s="15"/>
      <c r="H28" s="15"/>
    </row>
    <row r="29" customFormat="false" ht="30" hidden="false" customHeight="true" outlineLevel="0" collapsed="false">
      <c r="A29" s="12"/>
      <c r="B29" s="12"/>
    </row>
    <row r="30" customFormat="false" ht="30" hidden="false" customHeight="true" outlineLevel="0" collapsed="false">
      <c r="A30" s="12"/>
      <c r="B30" s="12"/>
      <c r="D30" s="2" t="s">
        <v>99</v>
      </c>
      <c r="E30" s="2"/>
      <c r="F30" s="2"/>
      <c r="G30" s="2"/>
      <c r="H30" s="2"/>
    </row>
    <row r="31" customFormat="false" ht="30" hidden="false" customHeight="true" outlineLevel="0" collapsed="false">
      <c r="A31" s="12"/>
      <c r="B31" s="12"/>
      <c r="D31" s="2"/>
      <c r="E31" s="2"/>
      <c r="F31" s="2"/>
      <c r="G31" s="2"/>
      <c r="H31" s="2"/>
    </row>
    <row r="32" customFormat="false" ht="30" hidden="false" customHeight="true" outlineLevel="0" collapsed="false">
      <c r="A32" s="12"/>
      <c r="B32" s="12"/>
      <c r="D32" s="2"/>
      <c r="E32" s="2"/>
      <c r="F32" s="2"/>
      <c r="G32" s="2"/>
      <c r="H32" s="2"/>
    </row>
    <row r="33" customFormat="false" ht="30" hidden="false" customHeight="true" outlineLevel="0" collapsed="false">
      <c r="A33" s="12"/>
      <c r="B33" s="12"/>
      <c r="D33" s="2"/>
      <c r="E33" s="2"/>
      <c r="F33" s="2"/>
      <c r="G33" s="2"/>
      <c r="H33" s="2"/>
    </row>
    <row r="34" customFormat="false" ht="30" hidden="false" customHeight="true" outlineLevel="0" collapsed="false">
      <c r="A34" s="12"/>
      <c r="B34" s="12"/>
    </row>
    <row r="35" customFormat="false" ht="30" hidden="false" customHeight="true" outlineLevel="0" collapsed="false">
      <c r="A35" s="12"/>
      <c r="B35" s="12"/>
    </row>
  </sheetData>
  <mergeCells count="14">
    <mergeCell ref="A1:H1"/>
    <mergeCell ref="A2:H2"/>
    <mergeCell ref="A4:H4"/>
    <mergeCell ref="A5:H5"/>
    <mergeCell ref="A19:H19"/>
    <mergeCell ref="A20:H20"/>
    <mergeCell ref="A22:H22"/>
    <mergeCell ref="D23:H23"/>
    <mergeCell ref="E24:H24"/>
    <mergeCell ref="E25:H25"/>
    <mergeCell ref="E26:H26"/>
    <mergeCell ref="E27:H27"/>
    <mergeCell ref="E28:H28"/>
    <mergeCell ref="D30:H33"/>
  </mergeCells>
  <conditionalFormatting sqref="A8">
    <cfRule type="expression" priority="2" aboveAverage="0" equalAverage="0" bottom="0" percent="0" rank="0" text="" dxfId="86">
      <formula>AND(COUNTA($A8:$H8)&gt;0,A8="")</formula>
    </cfRule>
  </conditionalFormatting>
  <conditionalFormatting sqref="C8">
    <cfRule type="expression" priority="3" aboveAverage="0" equalAverage="0" bottom="0" percent="0" rank="0" text="" dxfId="87">
      <formula>AND(COUNTA($A8:$H8)&gt;0,C8="")</formula>
    </cfRule>
  </conditionalFormatting>
  <conditionalFormatting sqref="D8">
    <cfRule type="expression" priority="4" aboveAverage="0" equalAverage="0" bottom="0" percent="0" rank="0" text="" dxfId="88">
      <formula>AND(COUNTA($A8:$H8)&gt;0,D8="")</formula>
    </cfRule>
  </conditionalFormatting>
  <conditionalFormatting sqref="E8">
    <cfRule type="expression" priority="5" aboveAverage="0" equalAverage="0" bottom="0" percent="0" rank="0" text="" dxfId="89">
      <formula>AND(COUNTA($A8:$H8)&gt;0,E8="")</formula>
    </cfRule>
  </conditionalFormatting>
  <conditionalFormatting sqref="A9">
    <cfRule type="expression" priority="6" aboveAverage="0" equalAverage="0" bottom="0" percent="0" rank="0" text="" dxfId="90">
      <formula>AND(COUNTA($A9:$H9)&gt;0,A9="")</formula>
    </cfRule>
  </conditionalFormatting>
  <conditionalFormatting sqref="C9">
    <cfRule type="expression" priority="7" aboveAverage="0" equalAverage="0" bottom="0" percent="0" rank="0" text="" dxfId="91">
      <formula>AND(COUNTA($A9:$H9)&gt;0,C9="")</formula>
    </cfRule>
  </conditionalFormatting>
  <conditionalFormatting sqref="D9">
    <cfRule type="expression" priority="8" aboveAverage="0" equalAverage="0" bottom="0" percent="0" rank="0" text="" dxfId="92">
      <formula>AND(COUNTA($A9:$H9)&gt;0,D9="")</formula>
    </cfRule>
  </conditionalFormatting>
  <conditionalFormatting sqref="E9">
    <cfRule type="expression" priority="9" aboveAverage="0" equalAverage="0" bottom="0" percent="0" rank="0" text="" dxfId="93">
      <formula>AND(COUNTA($A9:$H9)&gt;0,E9="")</formula>
    </cfRule>
  </conditionalFormatting>
  <conditionalFormatting sqref="A10">
    <cfRule type="expression" priority="10" aboveAverage="0" equalAverage="0" bottom="0" percent="0" rank="0" text="" dxfId="94">
      <formula>AND(COUNTA($A10:$H10)&gt;0,A10="")</formula>
    </cfRule>
  </conditionalFormatting>
  <conditionalFormatting sqref="C10">
    <cfRule type="expression" priority="11" aboveAverage="0" equalAverage="0" bottom="0" percent="0" rank="0" text="" dxfId="95">
      <formula>AND(COUNTA($A10:$H10)&gt;0,C10="")</formula>
    </cfRule>
  </conditionalFormatting>
  <conditionalFormatting sqref="D10">
    <cfRule type="expression" priority="12" aboveAverage="0" equalAverage="0" bottom="0" percent="0" rank="0" text="" dxfId="96">
      <formula>AND(COUNTA($A10:$H10)&gt;0,D10="")</formula>
    </cfRule>
  </conditionalFormatting>
  <conditionalFormatting sqref="E10">
    <cfRule type="expression" priority="13" aboveAverage="0" equalAverage="0" bottom="0" percent="0" rank="0" text="" dxfId="97">
      <formula>AND(COUNTA($A10:$H10)&gt;0,E10="")</formula>
    </cfRule>
  </conditionalFormatting>
  <conditionalFormatting sqref="A11">
    <cfRule type="expression" priority="14" aboveAverage="0" equalAverage="0" bottom="0" percent="0" rank="0" text="" dxfId="98">
      <formula>AND(COUNTA($A11:$H11)&gt;0,A11="")</formula>
    </cfRule>
  </conditionalFormatting>
  <conditionalFormatting sqref="C11">
    <cfRule type="expression" priority="15" aboveAverage="0" equalAverage="0" bottom="0" percent="0" rank="0" text="" dxfId="99">
      <formula>AND(COUNTA($A11:$H11)&gt;0,C11="")</formula>
    </cfRule>
  </conditionalFormatting>
  <conditionalFormatting sqref="D11">
    <cfRule type="expression" priority="16" aboveAverage="0" equalAverage="0" bottom="0" percent="0" rank="0" text="" dxfId="100">
      <formula>AND(COUNTA($A11:$H11)&gt;0,D11="")</formula>
    </cfRule>
  </conditionalFormatting>
  <conditionalFormatting sqref="E11">
    <cfRule type="expression" priority="17" aboveAverage="0" equalAverage="0" bottom="0" percent="0" rank="0" text="" dxfId="101">
      <formula>AND(COUNTA($A11:$H11)&gt;0,E11="")</formula>
    </cfRule>
  </conditionalFormatting>
  <conditionalFormatting sqref="A12">
    <cfRule type="expression" priority="18" aboveAverage="0" equalAverage="0" bottom="0" percent="0" rank="0" text="" dxfId="102">
      <formula>AND(COUNTA($A12:$H12)&gt;0,A12="")</formula>
    </cfRule>
  </conditionalFormatting>
  <conditionalFormatting sqref="C12">
    <cfRule type="expression" priority="19" aboveAverage="0" equalAverage="0" bottom="0" percent="0" rank="0" text="" dxfId="103">
      <formula>AND(COUNTA($A12:$H12)&gt;0,C12="")</formula>
    </cfRule>
  </conditionalFormatting>
  <conditionalFormatting sqref="D12">
    <cfRule type="expression" priority="20" aboveAverage="0" equalAverage="0" bottom="0" percent="0" rank="0" text="" dxfId="104">
      <formula>AND(COUNTA($A12:$H12)&gt;0,D12="")</formula>
    </cfRule>
  </conditionalFormatting>
  <conditionalFormatting sqref="E12">
    <cfRule type="expression" priority="21" aboveAverage="0" equalAverage="0" bottom="0" percent="0" rank="0" text="" dxfId="105">
      <formula>AND(COUNTA($A12:$H12)&gt;0,E12="")</formula>
    </cfRule>
  </conditionalFormatting>
  <conditionalFormatting sqref="A13">
    <cfRule type="expression" priority="22" aboveAverage="0" equalAverage="0" bottom="0" percent="0" rank="0" text="" dxfId="106">
      <formula>AND(COUNTA($A13:$H13)&gt;0,A13="")</formula>
    </cfRule>
  </conditionalFormatting>
  <conditionalFormatting sqref="C13">
    <cfRule type="expression" priority="23" aboveAverage="0" equalAverage="0" bottom="0" percent="0" rank="0" text="" dxfId="107">
      <formula>AND(COUNTA($A13:$H13)&gt;0,C13="")</formula>
    </cfRule>
  </conditionalFormatting>
  <conditionalFormatting sqref="D13">
    <cfRule type="expression" priority="24" aboveAverage="0" equalAverage="0" bottom="0" percent="0" rank="0" text="" dxfId="108">
      <formula>AND(COUNTA($A13:$H13)&gt;0,D13="")</formula>
    </cfRule>
  </conditionalFormatting>
  <conditionalFormatting sqref="E13">
    <cfRule type="expression" priority="25" aboveAverage="0" equalAverage="0" bottom="0" percent="0" rank="0" text="" dxfId="109">
      <formula>AND(COUNTA($A13:$H13)&gt;0,E13="")</formula>
    </cfRule>
  </conditionalFormatting>
  <conditionalFormatting sqref="A14">
    <cfRule type="expression" priority="26" aboveAverage="0" equalAverage="0" bottom="0" percent="0" rank="0" text="" dxfId="110">
      <formula>AND(COUNTA($A14:$H14)&gt;0,A14="")</formula>
    </cfRule>
  </conditionalFormatting>
  <conditionalFormatting sqref="C14">
    <cfRule type="expression" priority="27" aboveAverage="0" equalAverage="0" bottom="0" percent="0" rank="0" text="" dxfId="111">
      <formula>AND(COUNTA($A14:$H14)&gt;0,C14="")</formula>
    </cfRule>
  </conditionalFormatting>
  <conditionalFormatting sqref="D14">
    <cfRule type="expression" priority="28" aboveAverage="0" equalAverage="0" bottom="0" percent="0" rank="0" text="" dxfId="112">
      <formula>AND(COUNTA($A14:$H14)&gt;0,D14="")</formula>
    </cfRule>
  </conditionalFormatting>
  <conditionalFormatting sqref="E14">
    <cfRule type="expression" priority="29" aboveAverage="0" equalAverage="0" bottom="0" percent="0" rank="0" text="" dxfId="113">
      <formula>AND(COUNTA($A14:$H14)&gt;0,E14="")</formula>
    </cfRule>
  </conditionalFormatting>
  <conditionalFormatting sqref="A15">
    <cfRule type="expression" priority="30" aboveAverage="0" equalAverage="0" bottom="0" percent="0" rank="0" text="" dxfId="114">
      <formula>AND(COUNTA($A15:$H15)&gt;0,A15="")</formula>
    </cfRule>
  </conditionalFormatting>
  <conditionalFormatting sqref="C15">
    <cfRule type="expression" priority="31" aboveAverage="0" equalAverage="0" bottom="0" percent="0" rank="0" text="" dxfId="115">
      <formula>AND(COUNTA($A15:$H15)&gt;0,C15="")</formula>
    </cfRule>
  </conditionalFormatting>
  <conditionalFormatting sqref="D15">
    <cfRule type="expression" priority="32" aboveAverage="0" equalAverage="0" bottom="0" percent="0" rank="0" text="" dxfId="116">
      <formula>AND(COUNTA($A15:$H15)&gt;0,D15="")</formula>
    </cfRule>
  </conditionalFormatting>
  <conditionalFormatting sqref="E15">
    <cfRule type="expression" priority="33" aboveAverage="0" equalAverage="0" bottom="0" percent="0" rank="0" text="" dxfId="117">
      <formula>AND(COUNTA($A15:$H15)&gt;0,E15="")</formula>
    </cfRule>
  </conditionalFormatting>
  <conditionalFormatting sqref="A16">
    <cfRule type="expression" priority="34" aboveAverage="0" equalAverage="0" bottom="0" percent="0" rank="0" text="" dxfId="118">
      <formula>AND(COUNTA($A16:$H16)&gt;0,A16="")</formula>
    </cfRule>
  </conditionalFormatting>
  <conditionalFormatting sqref="C16">
    <cfRule type="expression" priority="35" aboveAverage="0" equalAverage="0" bottom="0" percent="0" rank="0" text="" dxfId="119">
      <formula>AND(COUNTA($A16:$H16)&gt;0,C16="")</formula>
    </cfRule>
  </conditionalFormatting>
  <conditionalFormatting sqref="D16">
    <cfRule type="expression" priority="36" aboveAverage="0" equalAverage="0" bottom="0" percent="0" rank="0" text="" dxfId="120">
      <formula>AND(COUNTA($A16:$H16)&gt;0,D16="")</formula>
    </cfRule>
  </conditionalFormatting>
  <conditionalFormatting sqref="E16">
    <cfRule type="expression" priority="37" aboveAverage="0" equalAverage="0" bottom="0" percent="0" rank="0" text="" dxfId="121">
      <formula>AND(COUNTA($A16:$H16)&gt;0,E16="")</formula>
    </cfRule>
  </conditionalFormatting>
  <conditionalFormatting sqref="A17">
    <cfRule type="expression" priority="38" aboveAverage="0" equalAverage="0" bottom="0" percent="0" rank="0" text="" dxfId="122">
      <formula>AND(COUNTA($A17:$H17)&gt;0,A17="")</formula>
    </cfRule>
  </conditionalFormatting>
  <conditionalFormatting sqref="C17">
    <cfRule type="expression" priority="39" aboveAverage="0" equalAverage="0" bottom="0" percent="0" rank="0" text="" dxfId="123">
      <formula>AND(COUNTA($A17:$H17)&gt;0,C17="")</formula>
    </cfRule>
  </conditionalFormatting>
  <conditionalFormatting sqref="D17">
    <cfRule type="expression" priority="40" aboveAverage="0" equalAverage="0" bottom="0" percent="0" rank="0" text="" dxfId="124">
      <formula>AND(COUNTA($A17:$H17)&gt;0,D17="")</formula>
    </cfRule>
  </conditionalFormatting>
  <conditionalFormatting sqref="E17">
    <cfRule type="expression" priority="41" aboveAverage="0" equalAverage="0" bottom="0" percent="0" rank="0" text="" dxfId="125">
      <formula>AND(COUNTA($A17:$H17)&gt;0,E17="")</formula>
    </cfRule>
  </conditionalFormatting>
  <dataValidations count="3">
    <dataValidation allowBlank="true" error="价格必须大于0。" errorStyle="stop" operator="greaterThan" showDropDown="false" showErrorMessage="true" showInputMessage="true" sqref="C8:D17" type="decimal">
      <formula1>0</formula1>
      <formula2>0</formula2>
    </dataValidation>
    <dataValidation allowBlank="true" error="库存填非负整数；0有效。" errorStyle="stop" operator="greaterThanOrEqual" showDropDown="false" showErrorMessage="true" showInputMessage="true" sqref="E8:E17" type="whole">
      <formula1>0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H8:H17" type="list">
      <formula1>"启用,停用"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3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&amp;L&amp;"Calibri"文青尚品 · 独立模板预览&amp;R&amp;"Calibri"第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E8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10.27734375" defaultRowHeight="30" customHeight="true" zeroHeight="false" outlineLevelRow="0" outlineLevelCol="0"/>
  <cols>
    <col collapsed="false" customWidth="true" hidden="false" outlineLevel="0" max="1" min="1" style="0" width="32.83"/>
    <col collapsed="false" customWidth="true" hidden="false" outlineLevel="0" max="2" min="2" style="0" width="63.61"/>
    <col collapsed="false" customWidth="true" hidden="false" outlineLevel="0" max="3" min="3" style="0" width="17.42"/>
    <col collapsed="false" customWidth="true" hidden="false" outlineLevel="0" max="4" min="4" style="0" width="76.64"/>
  </cols>
  <sheetData>
    <row r="1" customFormat="false" ht="42.75" hidden="false" customHeight="true" outlineLevel="0" collapsed="false">
      <c r="A1" s="1" t="s">
        <v>100</v>
      </c>
      <c r="B1" s="1"/>
      <c r="C1" s="1"/>
      <c r="D1" s="1"/>
    </row>
    <row r="2" customFormat="false" ht="33.75" hidden="false" customHeight="true" outlineLevel="0" collapsed="false">
      <c r="A2" s="2" t="s">
        <v>101</v>
      </c>
      <c r="B2" s="2"/>
      <c r="C2" s="2"/>
      <c r="D2" s="2"/>
    </row>
    <row r="4" customFormat="false" ht="30" hidden="false" customHeight="true" outlineLevel="0" collapsed="false">
      <c r="A4" s="2" t="s">
        <v>102</v>
      </c>
      <c r="B4" s="2"/>
      <c r="C4" s="2"/>
      <c r="D4" s="2"/>
    </row>
    <row r="6" customFormat="false" ht="30" hidden="false" customHeight="true" outlineLevel="0" collapsed="false">
      <c r="A6" s="8" t="s">
        <v>8</v>
      </c>
      <c r="B6" s="8" t="s">
        <v>9</v>
      </c>
      <c r="C6" s="8" t="s">
        <v>10</v>
      </c>
      <c r="D6" s="8" t="s">
        <v>11</v>
      </c>
    </row>
    <row r="7" customFormat="false" ht="39.75" hidden="false" customHeight="true" outlineLevel="0" collapsed="false">
      <c r="A7" s="3" t="s">
        <v>2</v>
      </c>
      <c r="B7" s="10"/>
      <c r="C7" s="17" t="s">
        <v>103</v>
      </c>
      <c r="D7" s="6" t="s">
        <v>104</v>
      </c>
    </row>
    <row r="8" customFormat="false" ht="39.75" hidden="false" customHeight="true" outlineLevel="0" collapsed="false">
      <c r="A8" s="3" t="s">
        <v>105</v>
      </c>
      <c r="B8" s="10"/>
      <c r="C8" s="17" t="s">
        <v>103</v>
      </c>
      <c r="D8" s="6" t="s">
        <v>106</v>
      </c>
    </row>
    <row r="9" customFormat="false" ht="39.75" hidden="false" customHeight="true" outlineLevel="0" collapsed="false">
      <c r="A9" s="3" t="s">
        <v>107</v>
      </c>
      <c r="B9" s="10"/>
      <c r="C9" s="17" t="s">
        <v>103</v>
      </c>
      <c r="D9" s="6" t="s">
        <v>108</v>
      </c>
    </row>
    <row r="10" customFormat="false" ht="39.75" hidden="false" customHeight="true" outlineLevel="0" collapsed="false">
      <c r="A10" s="3" t="s">
        <v>109</v>
      </c>
      <c r="B10" s="10"/>
      <c r="C10" s="17" t="s">
        <v>103</v>
      </c>
      <c r="D10" s="6" t="s">
        <v>110</v>
      </c>
    </row>
    <row r="11" customFormat="false" ht="39.75" hidden="false" customHeight="true" outlineLevel="0" collapsed="false">
      <c r="A11" s="3" t="s">
        <v>111</v>
      </c>
      <c r="B11" s="10"/>
      <c r="C11" s="17" t="s">
        <v>103</v>
      </c>
      <c r="D11" s="6" t="s">
        <v>112</v>
      </c>
    </row>
    <row r="12" customFormat="false" ht="39.75" hidden="false" customHeight="true" outlineLevel="0" collapsed="false">
      <c r="A12" s="3" t="s">
        <v>113</v>
      </c>
      <c r="B12" s="10"/>
      <c r="C12" s="17" t="s">
        <v>103</v>
      </c>
      <c r="D12" s="6" t="s">
        <v>114</v>
      </c>
    </row>
    <row r="13" customFormat="false" ht="39.75" hidden="false" customHeight="true" outlineLevel="0" collapsed="false">
      <c r="A13" s="18" t="s">
        <v>115</v>
      </c>
      <c r="B13" s="10"/>
      <c r="C13" s="17" t="s">
        <v>116</v>
      </c>
      <c r="D13" s="6" t="s">
        <v>117</v>
      </c>
    </row>
    <row r="14" customFormat="false" ht="39.75" hidden="false" customHeight="true" outlineLevel="0" collapsed="false">
      <c r="A14" s="3" t="s">
        <v>118</v>
      </c>
      <c r="B14" s="10"/>
      <c r="C14" s="17" t="s">
        <v>116</v>
      </c>
      <c r="D14" s="6" t="s">
        <v>119</v>
      </c>
    </row>
    <row r="15" customFormat="false" ht="39.75" hidden="false" customHeight="true" outlineLevel="0" collapsed="false">
      <c r="A15" s="3" t="s">
        <v>120</v>
      </c>
      <c r="B15" s="10"/>
      <c r="C15" s="17" t="s">
        <v>116</v>
      </c>
      <c r="D15" s="6" t="s">
        <v>121</v>
      </c>
    </row>
    <row r="16" customFormat="false" ht="39.75" hidden="false" customHeight="true" outlineLevel="0" collapsed="false">
      <c r="A16" s="3" t="s">
        <v>122</v>
      </c>
      <c r="B16" s="10"/>
      <c r="C16" s="17" t="s">
        <v>116</v>
      </c>
      <c r="D16" s="6" t="s">
        <v>123</v>
      </c>
    </row>
    <row r="17" customFormat="false" ht="39.75" hidden="false" customHeight="true" outlineLevel="0" collapsed="false">
      <c r="A17" s="3" t="s">
        <v>124</v>
      </c>
      <c r="B17" s="10"/>
      <c r="C17" s="17" t="s">
        <v>116</v>
      </c>
      <c r="D17" s="6" t="s">
        <v>125</v>
      </c>
    </row>
    <row r="19" customFormat="false" ht="30" hidden="false" customHeight="true" outlineLevel="0" collapsed="false">
      <c r="A19" s="14" t="s">
        <v>126</v>
      </c>
      <c r="B19" s="14"/>
      <c r="C19" s="14"/>
      <c r="D19" s="14"/>
    </row>
    <row r="20" customFormat="false" ht="42" hidden="false" customHeight="true" outlineLevel="0" collapsed="false">
      <c r="A20" s="3" t="s">
        <v>127</v>
      </c>
      <c r="B20" s="6" t="s">
        <v>128</v>
      </c>
      <c r="C20" s="6"/>
      <c r="D20" s="6"/>
    </row>
    <row r="21" customFormat="false" ht="42" hidden="false" customHeight="true" outlineLevel="0" collapsed="false">
      <c r="A21" s="3" t="s">
        <v>129</v>
      </c>
      <c r="B21" s="6" t="s">
        <v>130</v>
      </c>
      <c r="C21" s="6"/>
      <c r="D21" s="6"/>
    </row>
    <row r="22" customFormat="false" ht="42" hidden="false" customHeight="true" outlineLevel="0" collapsed="false">
      <c r="A22" s="3" t="s">
        <v>131</v>
      </c>
      <c r="B22" s="6" t="s">
        <v>132</v>
      </c>
      <c r="C22" s="6"/>
      <c r="D22" s="6"/>
    </row>
    <row r="23" customFormat="false" ht="42" hidden="false" customHeight="true" outlineLevel="0" collapsed="false">
      <c r="A23" s="3" t="s">
        <v>133</v>
      </c>
      <c r="B23" s="6" t="s">
        <v>134</v>
      </c>
      <c r="C23" s="6"/>
      <c r="D23" s="6"/>
    </row>
    <row r="24" customFormat="false" ht="42" hidden="false" customHeight="true" outlineLevel="0" collapsed="false">
      <c r="A24" s="3" t="s">
        <v>135</v>
      </c>
      <c r="B24" s="6" t="s">
        <v>136</v>
      </c>
      <c r="C24" s="6"/>
      <c r="D24" s="6"/>
    </row>
    <row r="25" customFormat="false" ht="42" hidden="false" customHeight="true" outlineLevel="0" collapsed="false">
      <c r="A25" s="3" t="s">
        <v>137</v>
      </c>
      <c r="B25" s="6" t="s">
        <v>138</v>
      </c>
      <c r="C25" s="6"/>
      <c r="D25" s="6"/>
    </row>
  </sheetData>
  <mergeCells count="10">
    <mergeCell ref="A1:D1"/>
    <mergeCell ref="A2:D2"/>
    <mergeCell ref="A4:D4"/>
    <mergeCell ref="A19:D19"/>
    <mergeCell ref="B20:D20"/>
    <mergeCell ref="B21:D21"/>
    <mergeCell ref="B22:D22"/>
    <mergeCell ref="B23:D23"/>
    <mergeCell ref="B24:D24"/>
    <mergeCell ref="B25:D25"/>
  </mergeCells>
  <conditionalFormatting sqref="B7">
    <cfRule type="expression" priority="2" aboveAverage="0" equalAverage="0" bottom="0" percent="0" rank="0" text="" dxfId="126">
      <formula>LEN(TRIM(B7&amp;""))=0</formula>
    </cfRule>
  </conditionalFormatting>
  <conditionalFormatting sqref="B8">
    <cfRule type="expression" priority="3" aboveAverage="0" equalAverage="0" bottom="0" percent="0" rank="0" text="" dxfId="127">
      <formula>LEN(TRIM(B8&amp;""))=0</formula>
    </cfRule>
  </conditionalFormatting>
  <conditionalFormatting sqref="B9">
    <cfRule type="expression" priority="4" aboveAverage="0" equalAverage="0" bottom="0" percent="0" rank="0" text="" dxfId="128">
      <formula>LEN(TRIM(B9&amp;""))=0</formula>
    </cfRule>
  </conditionalFormatting>
  <conditionalFormatting sqref="B10">
    <cfRule type="expression" priority="5" aboveAverage="0" equalAverage="0" bottom="0" percent="0" rank="0" text="" dxfId="129">
      <formula>LEN(TRIM(B10&amp;""))=0</formula>
    </cfRule>
  </conditionalFormatting>
  <conditionalFormatting sqref="B11">
    <cfRule type="expression" priority="6" aboveAverage="0" equalAverage="0" bottom="0" percent="0" rank="0" text="" dxfId="130">
      <formula>LEN(TRIM(B11&amp;""))=0</formula>
    </cfRule>
  </conditionalFormatting>
  <conditionalFormatting sqref="B12">
    <cfRule type="expression" priority="7" aboveAverage="0" equalAverage="0" bottom="0" percent="0" rank="0" text="" dxfId="131">
      <formula>LEN(TRIM(B12&amp;""))=0</formula>
    </cfRule>
  </conditionalFormatting>
  <dataValidations count="7"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0" type="list">
      <formula1>"时段预售"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3" type="list">
      <formula1>"支持,不支持"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4" type="list">
      <formula1>"不开通,开通"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17" type="list">
      <formula1>"不开通额外服务"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7" type="list">
      <formula1>"普通商品"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8" type="list">
      <formula1>"非二手"</formula1>
      <formula2>0</formula2>
    </dataValidation>
    <dataValidation allowBlank="true" error="此项只接受列表中的值。" errorStyle="stop" errorTitle="请选择列表中的值" operator="between" prompt="从下拉列表选择。" promptTitle="请选择" showDropDown="false" showErrorMessage="true" showInputMessage="true" sqref="B9" type="list">
      <formula1>"非定制"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3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&amp;L&amp;"Calibri"文青尚品 · 独立模板预览&amp;R&amp;"Calibri"第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2026-10-23T04:03:13Z</dcterms:created>
  <dc:creator>文青尚品</dc:creator>
  <dc:description>独立预览，未接入现有App。源表未修改。</dc:description>
  <dc:language>zh-CN</dc:language>
  <cp:lastModifiedBy>文青尚品</cp:lastModifiedBy>
  <dcterms:modified xsi:type="dcterms:W3CDTF">2026-10-23T04:03:13Z</dcterms:modified>
  <cp:revision>0</cp:revision>
  <dc:subject/>
  <dc:title>拼多多商品信息配置表 · 双类目预览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